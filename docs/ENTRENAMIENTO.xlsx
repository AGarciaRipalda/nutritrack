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📘Indicaciones" sheetId="1" r:id="rId5"/>
    <sheet state="visible" name="📊Distribución" sheetId="2" r:id="rId6"/>
    <sheet state="hidden" name="🏋🏼‍♀️Rutina 4 DÍAS" sheetId="3" r:id="rId7"/>
    <sheet state="hidden" name="🏋🏼‍♀️Rutina" sheetId="4" r:id="rId8"/>
    <sheet state="visible" name="🏋🏼‍♀️ Rutina PPL rotativa" sheetId="5" r:id="rId9"/>
    <sheet state="visible" name="DIARIO ALEX JUNIO" sheetId="6" r:id="rId10"/>
    <sheet state="visible" name="DIARIO ALEX JULIO" sheetId="7" r:id="rId11"/>
    <sheet state="visible" name="DIARIO ALEX AGOSTO" sheetId="8" r:id="rId12"/>
    <sheet state="visible" name="SEPTIEMBRE 2025" sheetId="9" r:id="rId13"/>
    <sheet state="visible" name="OCTUBRE 2025" sheetId="10" r:id="rId14"/>
    <sheet state="visible" name="NOVIEMBRE 2025" sheetId="11" r:id="rId15"/>
    <sheet state="visible" name="DICIEMBRE 2025" sheetId="12" r:id="rId16"/>
    <sheet state="visible" name="ENERO 2026" sheetId="13" r:id="rId17"/>
    <sheet state="visible" name="FEBRERO 2026" sheetId="14" r:id="rId18"/>
    <sheet state="visible" name="MARZO 2026" sheetId="15" r:id="rId19"/>
  </sheets>
  <definedNames/>
  <calcPr/>
</workbook>
</file>

<file path=xl/sharedStrings.xml><?xml version="1.0" encoding="utf-8"?>
<sst xmlns="http://schemas.openxmlformats.org/spreadsheetml/2006/main" count="5392" uniqueCount="280">
  <si>
    <t>INSTRUCCIONES</t>
  </si>
  <si>
    <t>En esta planificación encontrarás todo lo necesario para que consigas los máximos resultados de la forma más eficiente y rápida posible.                En las pestañas del excell (abajo) encontrarás diferentes apartados claves con cada unas de las áreas importantes del plan.</t>
  </si>
  <si>
    <r>
      <rPr>
        <rFont val="Calibri, Arial"/>
        <b/>
        <color theme="1"/>
        <sz val="18.0"/>
      </rPr>
      <t>PROACTIVIDAD</t>
    </r>
    <r>
      <rPr>
        <rFont val="Calibri, Arial"/>
        <b/>
        <color theme="1"/>
        <sz val="18.0"/>
      </rPr>
      <t xml:space="preserve"> - TÚ ERES EL RESPONSABLE DE LOS RESULTADOS</t>
    </r>
  </si>
  <si>
    <t xml:space="preserve">Yo no puedo entrenar por tí, por eso, el compromiso que adquieres hacia tí mismo y el grado de responsabilidad es lo más importante. Sin esto, nada va a funcionar. Trazaremos juntos el mejor camino para que vayas de A a B en el menor tiempo posible y con la menor de las distracciones pero, por el camino aparecerán obstáculos, días que te veas peor, días que te veas mejor o días que tengas más o menos motivación. Comparte conmigo tanto los buenos momentos como sobre todo, los malos. Exteriorizarlo te ayudará a sentirte mejor y tendrás mi apoyo en todo momento. Pero no te olvides que eres tú quién camina. </t>
  </si>
  <si>
    <t>ENTRENAMIENTO INVISIBLE CLAVE</t>
  </si>
  <si>
    <t>El descanso, cómo duermes, cuánto, la gestión del estrés y tus problemas, tu organización, relaciones... Todo esto afecta directamente en tus resultados. Puedes comunicarte conmigo sobre esta parte también y te daré herramientas para que puedas gestionarlas de una mejor forma, pero es importante cuidar todo lo que engloba al propio entrenamiento en tu día a día.</t>
  </si>
  <si>
    <t>PREGUNTAS FRECUENTES</t>
  </si>
  <si>
    <t>¿Cómo caliento?</t>
  </si>
  <si>
    <t>El calentamiento es clave para hacer efectivo el trabajo posterior. ¿Cuánto caliento? Entre 5-10' está genial. La estructura a seguir la encontrarás en la pestaña "📊Organización rutina" y tras el mismo pasarás a las series de aproximación.</t>
  </si>
  <si>
    <t>Series de aproximación</t>
  </si>
  <si>
    <t>Son las series previas a realizar tu primera efectiva, es muy importante para evitar lesiones y preparar la musculatura. 2-3 series de aproximación es lo ideal, empezando de más a menos repes. Por ejemplo: Imagina que la serie efectiva en sentadilla la voy a hacer con 100kg: 1º aprox con 20kg (barra sola) a 5 reps, 2º aprox con 60kg a 3 reps, 3º aprox con 80kg a 2 reps. ¿Y que pasa con el resto de ejercicios, hago series de aproximación? Depende. Si es monoarticular y ya viene "caliente" ese músculo, no hace falta, si es multiarticular (y aunque venga caliente) sí, de 1 a 2 series está genial para "tantear" la carga que moverás.</t>
  </si>
  <si>
    <t>¿Trabajo de abdomen?</t>
  </si>
  <si>
    <t>Si no viene asignado en la rutina no es algo realmente importante en tu momento actual, por eso lo dejo a tu elección como trabajo complementario y opcional. Mi consejo: de 6 a 12 series de abdomen por semana, 3 series x 3 días en semana está perfecto en ejercicios como crunches en polea o máquina, elevaciones de piernas colgado...</t>
  </si>
  <si>
    <t>¿Cuánto descanso entre series?</t>
  </si>
  <si>
    <t>Descansa el tiempo que necesites para afrontar la siguiente serie con la mayor calidad mental y física posible. Como rangos generales: Ejercicio libre pesado (*press mancuernas): 3-4 min; Ejercicio en máquina (*press máquina/multipower): 2-3 min; ejercicio analítico (*cruce de poleas): 2 min.</t>
  </si>
  <si>
    <t>¿Que es RIR?</t>
  </si>
  <si>
    <r>
      <rPr>
        <rFont val="Calibri, Arial"/>
        <color theme="1"/>
        <sz val="12.0"/>
      </rPr>
      <t xml:space="preserve">Indica las "REPETICIONES EN RESERVA" que te dejas en una serie o, mejor, lo cerca o lejos que vas del fallo en función de las repeticiones que te guardas en la recámara. Un RIR 2, sería lo mismo que fallo-2 (2 reps más y la 3 no saldría). </t>
    </r>
    <r>
      <rPr>
        <rFont val="Calibri, Arial"/>
        <i/>
        <color theme="1"/>
        <sz val="12.0"/>
      </rPr>
      <t xml:space="preserve">Por ejemplo, si tienes leg extension 3x10-14 RIR1, quiere decir que tendrás que coger un peso con el que harás entre 10 y 14 reps dejándote 1 rep en recámara. </t>
    </r>
    <r>
      <rPr>
        <rFont val="Calibri, Arial"/>
        <color theme="1"/>
        <sz val="12.0"/>
      </rPr>
      <t>Ante la duda, siempre será mejor pasarte que quedarte corto de intensidad.</t>
    </r>
  </si>
  <si>
    <t>Técnicas de intensidad</t>
  </si>
  <si>
    <r>
      <rPr>
        <rFont val="Calibri, Arial"/>
        <color theme="1"/>
        <sz val="12.0"/>
      </rPr>
      <t xml:space="preserve">En el excel de la rutina, podrás ver citadas distintas técnicas de intensidad. Estas se llevarán a cabo en la última serie del ejercicio.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 </t>
    </r>
    <r>
      <rPr>
        <rFont val="Calibri, Arial"/>
        <b/>
        <color theme="1"/>
        <sz val="12.0"/>
      </rPr>
      <t>Descendente</t>
    </r>
    <r>
      <rPr>
        <rFont val="Calibri, Arial"/>
        <color theme="1"/>
        <sz val="12.0"/>
      </rPr>
      <t xml:space="preserve">: terminamos dicha serie al RIR pautado, bajamos aproximadamente un 25% del peso utilizado, y continuamos haciendo repeticiones hasta llegar al fallo.
- </t>
    </r>
    <r>
      <rPr>
        <rFont val="Calibri, Arial"/>
        <b/>
        <color theme="1"/>
        <sz val="12.0"/>
      </rPr>
      <t>Rest-pause</t>
    </r>
    <r>
      <rPr>
        <rFont val="Calibri, Arial"/>
        <color theme="1"/>
        <sz val="12.0"/>
      </rPr>
      <t xml:space="preserve">: terminamos dicha serie al RIR pautado, descansamos 15-20 segundos y, con el mismo peso utilizado, continuamos haciendo repeticiones hasta llegar al fallo.
- </t>
    </r>
    <r>
      <rPr>
        <rFont val="Calibri, Arial"/>
        <b/>
        <color theme="1"/>
        <sz val="12.0"/>
      </rPr>
      <t>Parciales</t>
    </r>
    <r>
      <rPr>
        <rFont val="Calibri, Arial"/>
        <color theme="1"/>
        <sz val="12.0"/>
      </rPr>
      <t>: en esa última serie, vamos al fallo y no paramos cuando no podamos completar una repetición completa, sino que seguimos hasta no poder realizar ninguna parte del recorrido.</t>
    </r>
  </si>
  <si>
    <t>Tempo</t>
  </si>
  <si>
    <r>
      <rPr>
        <rFont val="Calibri, Arial"/>
        <color theme="1"/>
        <sz val="12.0"/>
      </rPr>
      <t xml:space="preserve">Vamos a entenderlo mejor con un ejemplo; </t>
    </r>
    <r>
      <rPr>
        <rFont val="Calibri, Arial"/>
        <b/>
        <color theme="1"/>
        <sz val="12.0"/>
      </rPr>
      <t>TEMPO 3101 → 3'' excéntrica - 1'' pausa estiramiento - 0'' concéntrica explosiva - 1'' pausa acortamiento.</t>
    </r>
  </si>
  <si>
    <t>CALENDARIO Y ORGANIZACIÓN 📅</t>
  </si>
  <si>
    <t>OBJETIVO: Recomposición</t>
  </si>
  <si>
    <t>INICIO: 16/06/2025</t>
  </si>
  <si>
    <t>FINAL: -</t>
  </si>
  <si>
    <t>Nº SEMANAS: 4</t>
  </si>
  <si>
    <t>LUNES</t>
  </si>
  <si>
    <t>MARTES</t>
  </si>
  <si>
    <t>MIÉRCOLES</t>
  </si>
  <si>
    <t>JUEVES</t>
  </si>
  <si>
    <t>VIERNES</t>
  </si>
  <si>
    <t>SÁBADO</t>
  </si>
  <si>
    <t>DOMINGO</t>
  </si>
  <si>
    <t>EMPUJES (A)</t>
  </si>
  <si>
    <t>TRACCIONES (A)</t>
  </si>
  <si>
    <t>PIERNA (A)</t>
  </si>
  <si>
    <t>DESCANSO/CARDIO</t>
  </si>
  <si>
    <t>EMPUJES (B)</t>
  </si>
  <si>
    <t>TRACCIONES (B)</t>
  </si>
  <si>
    <t>PIERNA (B)</t>
  </si>
  <si>
    <t>CALENTAMIENTO TREN SUPERIOR</t>
  </si>
  <si>
    <t>CALENTAMIENTO TREN INFERIOR</t>
  </si>
  <si>
    <t>- ROTACIONES DE HOMBROS CON GOMA</t>
  </si>
  <si>
    <t>- ACTIVACIÓN GLÚTEO (FOAM+PUENTE GLÚTEO) + CORE (PLANCHA)</t>
  </si>
  <si>
    <t>- ROTACIÓN INTERNA CON GOMA</t>
  </si>
  <si>
    <t>- MOVILIDAD CADERA-TOBILLO-RODILLA</t>
  </si>
  <si>
    <t>- ROTACIÓN EXTERNA CON GOMA</t>
  </si>
  <si>
    <t>- CAT-CAMEL</t>
  </si>
  <si>
    <t>- PRESS OVERHEAD CON KETTLEBELL</t>
  </si>
  <si>
    <t>- ROTACIONES DE CADERA SENTADO</t>
  </si>
  <si>
    <t xml:space="preserve"> </t>
  </si>
  <si>
    <t>¡RECUERDA!</t>
  </si>
  <si>
    <t>- Sobre esta base, iremos ajustando las distintas variables en función de tus sensaciones, recuperación, etc.</t>
  </si>
  <si>
    <r>
      <rPr>
        <rFont val="Calibri"/>
        <b/>
        <color rgb="FFFFFFFF"/>
        <sz val="17.0"/>
      </rPr>
      <t xml:space="preserve">- Realiza al menos 2 series de </t>
    </r>
    <r>
      <rPr>
        <rFont val="Calibri"/>
        <b/>
        <color rgb="FFFFFF00"/>
        <sz val="17.0"/>
      </rPr>
      <t xml:space="preserve">APROXIMACIÓN </t>
    </r>
    <r>
      <rPr>
        <rFont val="Calibri"/>
        <b/>
        <color rgb="FFFFFFFF"/>
        <sz val="17.0"/>
      </rPr>
      <t>para cada ejercicio de tu rutina.</t>
    </r>
  </si>
  <si>
    <r>
      <rPr>
        <rFont val="Calibri"/>
        <b/>
        <color rgb="FFFFFFFF"/>
        <sz val="17.0"/>
      </rPr>
      <t xml:space="preserve">- </t>
    </r>
    <r>
      <rPr>
        <rFont val="Calibri"/>
        <b/>
        <color rgb="FFFFFF00"/>
        <sz val="17.0"/>
      </rPr>
      <t>PROGRESA</t>
    </r>
    <r>
      <rPr>
        <rFont val="Calibri"/>
        <b/>
        <color rgb="FFFFFFFF"/>
        <sz val="17.0"/>
      </rPr>
      <t xml:space="preserve"> dentro del rango de repeticiones.</t>
    </r>
  </si>
  <si>
    <r>
      <rPr>
        <rFont val="Calibri"/>
        <b/>
        <color rgb="FFFFFFFF"/>
        <sz val="17.0"/>
      </rPr>
      <t xml:space="preserve">- Si quieres que el entreno sea efectivo de verdad, aplica </t>
    </r>
    <r>
      <rPr>
        <rFont val="Calibri"/>
        <b/>
        <color rgb="FFFFFF00"/>
        <sz val="17.0"/>
      </rPr>
      <t>INTENSIDAD</t>
    </r>
    <r>
      <rPr>
        <rFont val="Calibri"/>
        <b/>
        <color rgb="FFFFFFFF"/>
        <sz val="17.0"/>
      </rPr>
      <t>.</t>
    </r>
  </si>
  <si>
    <r>
      <rPr>
        <rFont val="Calibri"/>
        <b/>
        <color rgb="FFFFFFFF"/>
        <sz val="17.0"/>
      </rPr>
      <t xml:space="preserve">- La </t>
    </r>
    <r>
      <rPr>
        <rFont val="Calibri"/>
        <b/>
        <color rgb="FFFFFF00"/>
        <sz val="17.0"/>
      </rPr>
      <t>TÉCNICA</t>
    </r>
    <r>
      <rPr>
        <rFont val="Calibri"/>
        <b/>
        <color rgb="FFFFFFFF"/>
        <sz val="17.0"/>
      </rPr>
      <t xml:space="preserve"> siempre es lo primero.</t>
    </r>
  </si>
  <si>
    <r>
      <rPr>
        <rFont val="Calibri"/>
        <b/>
        <color rgb="FFFFFFFF"/>
        <sz val="17.0"/>
      </rPr>
      <t xml:space="preserve">- Te recomiendo apuntar en un pequeño </t>
    </r>
    <r>
      <rPr>
        <rFont val="Calibri"/>
        <b/>
        <color rgb="FFFFFF00"/>
        <sz val="17.0"/>
      </rPr>
      <t>"cuaderno de entrenamiento"</t>
    </r>
    <r>
      <rPr>
        <rFont val="Calibri"/>
        <b/>
        <color rgb="FFFFFFFF"/>
        <sz val="17.0"/>
      </rPr>
      <t xml:space="preserve"> o almenos en las notas del móvil, el peso utilizado y las repeticiones que sacas para tener referencia y progresar semana a semana</t>
    </r>
  </si>
  <si>
    <t>📈 MESOCICLO ENTRENAMIENTO</t>
  </si>
  <si>
    <t>Nº MICROCICLO</t>
  </si>
  <si>
    <t>X</t>
  </si>
  <si>
    <t>DÍA 1: TORSO (A)</t>
  </si>
  <si>
    <t>MÚSCULO OBJETIVO</t>
  </si>
  <si>
    <t>OBSERVACIONES</t>
  </si>
  <si>
    <t>SERIES</t>
  </si>
  <si>
    <t>RANGO DE REPETICIONES</t>
  </si>
  <si>
    <t>RIR</t>
  </si>
  <si>
    <t>TÉCNICAS DE INTENSIDAD</t>
  </si>
  <si>
    <t>TEMPO</t>
  </si>
  <si>
    <t>ELEVACIONES LATERALES EN POLEA</t>
  </si>
  <si>
    <t>DELT.LATERAL</t>
  </si>
  <si>
    <t>Subir polea altura cadera / Si puedes, utilizar tobillera en la muñeca.</t>
  </si>
  <si>
    <t>3+1</t>
  </si>
  <si>
    <t>REST-PAUSE + PARCIALES</t>
  </si>
  <si>
    <t>PRESS 45º CON MANCUERNAS</t>
  </si>
  <si>
    <t>HAZ CLAVICULAR</t>
  </si>
  <si>
    <t>CRUCE DE POLEAS DESCENDENTE</t>
  </si>
  <si>
    <t>HAZ ESTERNOCOSTAL</t>
  </si>
  <si>
    <t>2+1</t>
  </si>
  <si>
    <t>12-15</t>
  </si>
  <si>
    <t>JALÓN UNILATERAL EN MÁQUINA</t>
  </si>
  <si>
    <t>DORSAL</t>
  </si>
  <si>
    <t>MÁQUINA HAMMER</t>
  </si>
  <si>
    <t>REMO T</t>
  </si>
  <si>
    <t>ESPALDA ALTA</t>
  </si>
  <si>
    <t>REMO DORIAN UNILATERAL</t>
  </si>
  <si>
    <t>CURL EN BANCO INCLINADO</t>
  </si>
  <si>
    <t>BÍCEPS</t>
  </si>
  <si>
    <t>PRESS FRANCÉS CON MANCUERNAS</t>
  </si>
  <si>
    <t>TRÍCEPS</t>
  </si>
  <si>
    <t>DÍA 2: PIERNA (A)</t>
  </si>
  <si>
    <t>GEMELO SENTADO EN MÁQUINA</t>
  </si>
  <si>
    <t>SÓLEO</t>
  </si>
  <si>
    <t>EXTENSIÓN DE RODILLA EN MÁQUINA DISCOS</t>
  </si>
  <si>
    <t>CUÁDRICEPS</t>
  </si>
  <si>
    <t>FLEXIÓN DE RODILLA UNILATERAL DE PIE</t>
  </si>
  <si>
    <t>ISQUIOS</t>
  </si>
  <si>
    <t>DESCENDENTE + PARCIALES</t>
  </si>
  <si>
    <t>PESO MUERTO RUMANO CON BARRA</t>
  </si>
  <si>
    <t>CADENA POSTERIOR</t>
  </si>
  <si>
    <t>PRENSA</t>
  </si>
  <si>
    <t>SENTADILLA BÚLGARA CONTRALATERAL CON MANC.</t>
  </si>
  <si>
    <t>GLÚTEO/CUÁDRICEPS</t>
  </si>
  <si>
    <t>DÍA 3: TORSO (B)</t>
  </si>
  <si>
    <t>ELEVACIONES LATERALES CON MANCUERNAS</t>
  </si>
  <si>
    <t>REMO EN BANCO PLANO CON BARRA</t>
  </si>
  <si>
    <t>LOW ROW</t>
  </si>
  <si>
    <t>PULL-OVER UNILATERAL EN POLEA</t>
  </si>
  <si>
    <t>10-14</t>
  </si>
  <si>
    <t>PRESS MUY INCLINADO EN MÁQUINA</t>
  </si>
  <si>
    <t>PRESS 15º MULTIPOWER</t>
  </si>
  <si>
    <t xml:space="preserve">PREDICADOR EN MÁQUINA </t>
  </si>
  <si>
    <t>EXTENSION EN "X"</t>
  </si>
  <si>
    <t>2+2</t>
  </si>
  <si>
    <t>DÍA 4: PIERNA (B)</t>
  </si>
  <si>
    <t>GEMELO EN PRENSA HORIZONTAL</t>
  </si>
  <si>
    <t>GASTROGNEMIO</t>
  </si>
  <si>
    <t>HIP-THRUST EN MÁQUINA</t>
  </si>
  <si>
    <t>GLÚTEO</t>
  </si>
  <si>
    <t>FLEXIÓN DE RODILLA EN MÁQUINA TUMBADO</t>
  </si>
  <si>
    <t>EXTENSIÓN DE RODILLA EN MÁQUINA PLACAS</t>
  </si>
  <si>
    <t>PESO MUERTO RUMANO CON MANCUERNAS</t>
  </si>
  <si>
    <t>SENTADILLA HACK</t>
  </si>
  <si>
    <t>DÍA 1: EMPUJES</t>
  </si>
  <si>
    <t>PARCIALES</t>
  </si>
  <si>
    <t>KAZ PRESS EN MULTIPOWER</t>
  </si>
  <si>
    <t>BANCO 15º</t>
  </si>
  <si>
    <t>CRUCIFIX</t>
  </si>
  <si>
    <t>BANCO 45º</t>
  </si>
  <si>
    <t>DÍA 2: TRACCIONES</t>
  </si>
  <si>
    <t>CURL MARTILLO CON MANCUERNAS</t>
  </si>
  <si>
    <t>REMO GIRONDA</t>
  </si>
  <si>
    <t>CURL BAYESIAN</t>
  </si>
  <si>
    <t>En en gironda dado la vuelta</t>
  </si>
  <si>
    <t>12-16</t>
  </si>
  <si>
    <t>JALÓN ABIERTO EN POLEA</t>
  </si>
  <si>
    <t>REMO ALTO EN MÁQUINA</t>
  </si>
  <si>
    <t>DÍA 3: PIERNA</t>
  </si>
  <si>
    <t>DÍA 4: TORSO</t>
  </si>
  <si>
    <t>ELEVACIONES LATERALES EN MÁQUINA</t>
  </si>
  <si>
    <t xml:space="preserve">CURL PREDICADOR EN MÁQUINA </t>
  </si>
  <si>
    <t>PECK-DECK</t>
  </si>
  <si>
    <t>EXTENSIÓN EN POLEA</t>
  </si>
  <si>
    <t>📈 MESOCICLO HIPERTROFIA GENERAL</t>
  </si>
  <si>
    <t>PUSH (A)</t>
  </si>
  <si>
    <t>PRESS PLANO EN MÁQUINA TECHNOGYM</t>
  </si>
  <si>
    <t>PRESS 30º CON MANCUERNAS</t>
  </si>
  <si>
    <t>ELEVACIÓN LATERAL UNILATERAL EN POLEA</t>
  </si>
  <si>
    <t>Polea altura cadera / CUFF</t>
  </si>
  <si>
    <t>EXTENSIÓN DE CODO EN POLEA</t>
  </si>
  <si>
    <t>Agarre ancho biacromial</t>
  </si>
  <si>
    <t>EXTENSIÓN DE CODO OVERHEAD UNILATERAL POLEA</t>
  </si>
  <si>
    <t>CUFF</t>
  </si>
  <si>
    <t>PULL (A)</t>
  </si>
  <si>
    <t>CURL CON BARRA/BARRA Z</t>
  </si>
  <si>
    <t>CURL PREDICADOR EN MÁQUINA</t>
  </si>
  <si>
    <t>SEAL ROW</t>
  </si>
  <si>
    <t>DORSAL/ESPALDA ALTA</t>
  </si>
  <si>
    <t>Barra apoya en el suelo cada repe</t>
  </si>
  <si>
    <t>JALÓN ANCHO EN POLEA</t>
  </si>
  <si>
    <t>DORSAL/REDONDO</t>
  </si>
  <si>
    <t>REMO T EN MÁQUINA</t>
  </si>
  <si>
    <t>Utiliza CUFF</t>
  </si>
  <si>
    <t>CABLE PULL-APART</t>
  </si>
  <si>
    <t>DELT.POSTERIOR</t>
  </si>
  <si>
    <t>Puedes hacerlo unilateral</t>
  </si>
  <si>
    <t>LEG (A)</t>
  </si>
  <si>
    <t>ADUCTOR EN MÁQUINA</t>
  </si>
  <si>
    <t>ADUCTOR</t>
  </si>
  <si>
    <t>LEG CURL UNILATERAL DE PIE</t>
  </si>
  <si>
    <t>RDL</t>
  </si>
  <si>
    <t>LEG PRESS HAMMER</t>
  </si>
  <si>
    <t>LEG EXTENSION DISCOS</t>
  </si>
  <si>
    <t>TECHNOGYM o HAMMER</t>
  </si>
  <si>
    <t>BULGARIAN SQ</t>
  </si>
  <si>
    <t>CUÁDRICEPS/GLÚTEO</t>
  </si>
  <si>
    <t>PUSH (B)</t>
  </si>
  <si>
    <t>Hacer en gironda / CUFFS</t>
  </si>
  <si>
    <t>PRESS MUY INCLINADO HAMMER</t>
  </si>
  <si>
    <t>PRESS 15º EN MULTIPOWER</t>
  </si>
  <si>
    <t>REVERSE BANDED KAZ PRESS EN MULTIPOWER</t>
  </si>
  <si>
    <t>PULL (B)</t>
  </si>
  <si>
    <t>Si puedes siéntate en un jalón apoyando los codos en el rulo</t>
  </si>
  <si>
    <t>CURL BAYESIAN BILATERAL</t>
  </si>
  <si>
    <t>Hacer en gironda</t>
  </si>
  <si>
    <t>JALÓN UNILATERAL HAMMER</t>
  </si>
  <si>
    <t>HIGH ROW</t>
  </si>
  <si>
    <t>REVERSE PECK-DECK</t>
  </si>
  <si>
    <t>LEG (B)</t>
  </si>
  <si>
    <t>LEG CURL TUMBADO</t>
  </si>
  <si>
    <t>LEG EXTENSION (placas)</t>
  </si>
  <si>
    <t>HIP-THRUST HAMMER</t>
  </si>
  <si>
    <t>HACK SQ</t>
  </si>
  <si>
    <t>Nº MESOCICLO (M)</t>
  </si>
  <si>
    <t>Nº MICROCICLO (m)</t>
  </si>
  <si>
    <t>SESIÓN 1</t>
  </si>
  <si>
    <t>SESIÓN 2</t>
  </si>
  <si>
    <t>SESIÓN 3</t>
  </si>
  <si>
    <t>SESIÓN 4</t>
  </si>
  <si>
    <t>SESIÓN 5</t>
  </si>
  <si>
    <t>SESIÓN 6</t>
  </si>
  <si>
    <t>SESIÓN 7</t>
  </si>
  <si>
    <t>SENSACIÓN DE FATIGA / CANSANCIO</t>
  </si>
  <si>
    <t>¿HA MEJORADO EL RENDIMIENTO CON RESPECTO AL MICROCICLO ANTERIOR?</t>
  </si>
  <si>
    <t>AGUJETAS</t>
  </si>
  <si>
    <t>MOTIVACIÓN / STATUS PSICOLÓGICO</t>
  </si>
  <si>
    <t>TIEMPO DE SUEÑO</t>
  </si>
  <si>
    <t>CALIDAD SUEÑO/DESCANSO</t>
  </si>
  <si>
    <t>Regular</t>
  </si>
  <si>
    <t>TIPO DE ENTRENAMIENTO</t>
  </si>
  <si>
    <t>LEG A</t>
  </si>
  <si>
    <t>VALORACIÓN</t>
  </si>
  <si>
    <t>Bueno</t>
  </si>
  <si>
    <t>READINESS PREVIO AL ENTRENAMIENTO - PRS</t>
  </si>
  <si>
    <t>FECHA</t>
  </si>
  <si>
    <t>SERIE 1</t>
  </si>
  <si>
    <t>SERIE 2</t>
  </si>
  <si>
    <t>SERIE 3</t>
  </si>
  <si>
    <t>SERIE 4</t>
  </si>
  <si>
    <t>SERIE 5</t>
  </si>
  <si>
    <t>ENTRENAMIENTO 1</t>
  </si>
  <si>
    <t>Nº</t>
  </si>
  <si>
    <t>EJERCICIO</t>
  </si>
  <si>
    <t>REPS</t>
  </si>
  <si>
    <t>KGS</t>
  </si>
  <si>
    <t>TONELAJE</t>
  </si>
  <si>
    <t>Aductor en maquina</t>
  </si>
  <si>
    <t>RPE - ESFUERZO POST ENTRENAMIENTO</t>
  </si>
  <si>
    <t>Leg curl unilateral de pie</t>
  </si>
  <si>
    <t>Bulgarian sq</t>
  </si>
  <si>
    <t>Leg press hammer</t>
  </si>
  <si>
    <t>NOTAS, SENSACIONES Y OBSERVACIONES</t>
  </si>
  <si>
    <t>agujetas de la muerte en los aductores</t>
  </si>
  <si>
    <t>PUSH A</t>
  </si>
  <si>
    <t>ENTRENAMIENTO 2</t>
  </si>
  <si>
    <t>Elevaciones de hombro con mancuernas</t>
  </si>
  <si>
    <t>Press 30º con mancuernas</t>
  </si>
  <si>
    <t>Press plano technogym</t>
  </si>
  <si>
    <t>cruces de polea descendente</t>
  </si>
  <si>
    <t>Extension de codo en polea</t>
  </si>
  <si>
    <t>Extension de codo unilateral overhead en polea</t>
  </si>
  <si>
    <t>PULL A</t>
  </si>
  <si>
    <t>ENTRENAMIENTO 3</t>
  </si>
  <si>
    <t>-</t>
  </si>
  <si>
    <t>LEG B</t>
  </si>
  <si>
    <t>ENTRENAMIENTO 4</t>
  </si>
  <si>
    <t>ADUCTOR CON AGUJETAS</t>
  </si>
  <si>
    <t>ENTRENAMIENTO 5</t>
  </si>
  <si>
    <t>PULL B</t>
  </si>
  <si>
    <t>ENTRENAMIENTO 6</t>
  </si>
  <si>
    <t>31/06/25</t>
  </si>
  <si>
    <t>ENTRENAMIENTO 7</t>
  </si>
  <si>
    <t>SI</t>
  </si>
  <si>
    <t>Nada</t>
  </si>
  <si>
    <t>Elevación lateral unilateral en polea</t>
  </si>
  <si>
    <t>ENTRENAMIENTO 8</t>
  </si>
  <si>
    <t>ENTRENAMIENTO 9</t>
  </si>
  <si>
    <t>PUSH B</t>
  </si>
  <si>
    <t>ENTRENAMIENTO 10</t>
  </si>
  <si>
    <t>ENTRENAMIENTO 11</t>
  </si>
  <si>
    <t>M</t>
  </si>
  <si>
    <t>ENTRENAMIENTO 12</t>
  </si>
  <si>
    <t>ENTRENAMIENTO 13</t>
  </si>
  <si>
    <t>ESFUERZO</t>
  </si>
  <si>
    <t>NO</t>
  </si>
  <si>
    <t>DOMINADAS</t>
  </si>
  <si>
    <t>TECNICA DE INTENSIDAD</t>
  </si>
  <si>
    <t>GEMELO EN PRENSA HAMMER</t>
  </si>
  <si>
    <t>series</t>
  </si>
  <si>
    <t>rango</t>
  </si>
  <si>
    <t>intensidad</t>
  </si>
  <si>
    <t>tempo</t>
  </si>
  <si>
    <t>leg+push</t>
  </si>
  <si>
    <t>ENTRENAMIENTO 14</t>
  </si>
  <si>
    <t>ENTRENAMIENTO 15</t>
  </si>
  <si>
    <t xml:space="preserve">REMO ANCHO </t>
  </si>
  <si>
    <t>ENTRENAMIENTO 16</t>
  </si>
  <si>
    <t>LEG EXTENSION (discos)</t>
  </si>
  <si>
    <t>ENTRENAMIENTO 17</t>
  </si>
  <si>
    <t>ENTRENAMIENTO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</si>
</sst>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"/>
    <numFmt numFmtId="165" formatCode="dd/mm/yyyy"/>
    <numFmt numFmtId="166" formatCode="dd/mm/yy"/>
    <numFmt numFmtId="167" formatCode="d/m"/>
    <numFmt numFmtId="168" formatCode="d/m/yy"/>
    <numFmt numFmtId="169" formatCode="d.m"/>
  </numFmts>
  <fonts count="64">
    <font>
      <sz val="10.0"/>
      <color rgb="FF000000"/>
      <name val="Arial"/>
      <scheme val="minor"/>
    </font>
    <font>
      <color theme="1"/>
      <name val="Arial"/>
    </font>
    <font>
      <b/>
      <sz val="50.0"/>
      <color theme="1"/>
      <name val="Calibri"/>
    </font>
    <font/>
    <font>
      <sz val="11.0"/>
      <color rgb="FFFFFFFF"/>
      <name val="Calibri"/>
    </font>
    <font>
      <b/>
      <sz val="18.0"/>
      <color theme="1"/>
      <name val="Calibri"/>
    </font>
    <font>
      <b/>
      <sz val="24.0"/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b/>
      <color theme="1"/>
      <name val="Calibri"/>
    </font>
    <font>
      <color theme="1"/>
      <name val="Arial"/>
      <scheme val="minor"/>
    </font>
    <font>
      <b/>
      <sz val="65.0"/>
      <color rgb="FFFFFFFF"/>
      <name val="Calibri"/>
    </font>
    <font>
      <b/>
      <sz val="17.0"/>
      <color theme="1"/>
      <name val="Calibri"/>
    </font>
    <font>
      <b/>
      <sz val="14.0"/>
      <color rgb="FF000000"/>
      <name val="Calibri"/>
    </font>
    <font>
      <b/>
      <u/>
      <sz val="17.0"/>
      <color rgb="FFFFFFFF"/>
      <name val="Calibri"/>
    </font>
    <font>
      <b/>
      <sz val="17.0"/>
      <color rgb="FF000000"/>
      <name val="Calibri"/>
    </font>
    <font>
      <b/>
      <sz val="11.0"/>
      <color theme="1"/>
      <name val="Calibri"/>
    </font>
    <font>
      <b/>
      <sz val="17.0"/>
      <color rgb="FFFFFFFF"/>
      <name val="Calibri"/>
    </font>
    <font>
      <b/>
      <sz val="60.0"/>
      <color rgb="FF000000"/>
      <name val="Calibri"/>
    </font>
    <font>
      <b/>
      <sz val="36.0"/>
      <color rgb="FF000000"/>
      <name val="Calibri"/>
    </font>
    <font>
      <sz val="36.0"/>
      <color rgb="FF0B5394"/>
      <name val="Impact"/>
    </font>
    <font>
      <b/>
      <u/>
      <sz val="14.0"/>
      <color rgb="FF0000FF"/>
      <name val="Calibri"/>
    </font>
    <font>
      <b/>
      <sz val="14.0"/>
      <color theme="1"/>
      <name val="Calibri"/>
    </font>
    <font>
      <b/>
      <i/>
      <sz val="14.0"/>
      <color theme="1"/>
      <name val="Calibri"/>
    </font>
    <font>
      <sz val="14.0"/>
      <color theme="1"/>
      <name val="Arial"/>
      <scheme val="minor"/>
    </font>
    <font>
      <b/>
      <u/>
      <sz val="14.0"/>
      <color rgb="FF0000FF"/>
      <name val="Calibri"/>
    </font>
    <font>
      <b/>
      <u/>
      <sz val="14.0"/>
      <color rgb="FF0000FF"/>
      <name val="Calibri"/>
    </font>
    <font>
      <sz val="14.0"/>
      <color theme="1"/>
      <name val="Arial"/>
    </font>
    <font>
      <b/>
      <u/>
      <sz val="14.0"/>
      <color rgb="FF0000FF"/>
      <name val="Calibri"/>
    </font>
    <font>
      <b/>
      <u/>
      <sz val="14.0"/>
      <color rgb="FF0000FF"/>
      <name val="Calibri"/>
    </font>
    <font>
      <b/>
      <u/>
      <sz val="14.0"/>
      <color rgb="FF0000FF"/>
      <name val="Calibri"/>
    </font>
    <font>
      <b/>
      <u/>
      <sz val="14.0"/>
      <color rgb="FF0000FF"/>
      <name val="Calibri"/>
    </font>
    <font>
      <sz val="14.0"/>
      <color theme="1"/>
      <name val="Calibri"/>
    </font>
    <font>
      <b/>
      <u/>
      <sz val="14.0"/>
      <color rgb="FF1155CC"/>
      <name val="Calibri"/>
    </font>
    <font>
      <color rgb="FF000000"/>
      <name val="Arial"/>
      <scheme val="minor"/>
    </font>
    <font>
      <b/>
      <u/>
      <sz val="14.0"/>
      <color rgb="FF1155CC"/>
      <name val="Calibri"/>
    </font>
    <font>
      <b/>
      <sz val="60.0"/>
      <color theme="1"/>
      <name val="Calibri"/>
    </font>
    <font>
      <b/>
      <sz val="36.0"/>
      <color theme="1"/>
      <name val="Calibri"/>
    </font>
    <font>
      <b/>
      <u/>
      <sz val="14.0"/>
      <color rgb="FF0000FF"/>
      <name val="Calibri"/>
    </font>
    <font>
      <sz val="11.0"/>
      <color theme="1"/>
      <name val="Arial"/>
    </font>
    <font>
      <color theme="1"/>
      <name val="Calibri"/>
    </font>
    <font>
      <b/>
      <sz val="34.0"/>
      <color rgb="FF000000"/>
      <name val="Calibri"/>
    </font>
    <font>
      <b/>
      <sz val="24.0"/>
      <color rgb="FF000000"/>
      <name val="Calibri"/>
    </font>
    <font>
      <u/>
      <sz val="36.0"/>
      <color rgb="FF0563C1"/>
      <name val="Calibri"/>
    </font>
    <font>
      <color rgb="FFFFFFFF"/>
      <name val="Calibri"/>
    </font>
    <font>
      <b/>
      <sz val="14.0"/>
      <color rgb="FF777777"/>
      <name val="Calibri"/>
    </font>
    <font>
      <sz val="17.0"/>
      <color theme="1"/>
      <name val="Calibri"/>
    </font>
    <font>
      <b/>
      <sz val="17.0"/>
      <name val="Calibri"/>
    </font>
    <font>
      <b/>
      <sz val="15.0"/>
      <name val="Calibri"/>
    </font>
    <font>
      <b/>
      <sz val="15.0"/>
      <color rgb="FF000000"/>
      <name val="Calibri"/>
    </font>
    <font>
      <b/>
      <sz val="16.0"/>
      <color rgb="FF000000"/>
      <name val="Calibri"/>
    </font>
    <font>
      <b/>
      <sz val="16.0"/>
      <name val="Calibri"/>
    </font>
    <font>
      <b/>
      <sz val="16.0"/>
      <color theme="1"/>
      <name val="Calibri"/>
    </font>
    <font>
      <b/>
      <sz val="14.0"/>
      <name val="Calibri"/>
    </font>
    <font>
      <b/>
      <sz val="31.0"/>
      <color rgb="FF000000"/>
      <name val="Calibri"/>
    </font>
    <font>
      <b/>
      <sz val="13.0"/>
      <color rgb="FF000000"/>
      <name val="Calibri"/>
    </font>
    <font>
      <b/>
      <sz val="23.0"/>
      <color rgb="FF000000"/>
      <name val="Calibri"/>
    </font>
    <font>
      <b/>
      <sz val="28.0"/>
      <color rgb="FF000000"/>
      <name val="Calibri"/>
    </font>
    <font>
      <b/>
      <sz val="33.0"/>
      <color rgb="FF000000"/>
      <name val="Calibri"/>
    </font>
    <font>
      <b/>
      <sz val="32.0"/>
      <color rgb="FF000000"/>
      <name val="Calibri"/>
    </font>
    <font>
      <b/>
      <sz val="26.0"/>
      <color rgb="FF000000"/>
      <name val="Calibri"/>
    </font>
    <font>
      <b/>
      <sz val="13.0"/>
      <color theme="1"/>
      <name val="Calibri"/>
    </font>
    <font>
      <b/>
      <sz val="23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4B183"/>
        <bgColor rgb="FFF4B183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  <fill>
      <patternFill patternType="solid">
        <fgColor rgb="FFFFE699"/>
        <bgColor rgb="FFFFE699"/>
      </patternFill>
    </fill>
    <fill>
      <patternFill patternType="solid">
        <fgColor rgb="FFC5E0B4"/>
        <bgColor rgb="FFC5E0B4"/>
      </patternFill>
    </fill>
    <fill>
      <patternFill patternType="solid">
        <fgColor rgb="FFA9D18E"/>
        <bgColor rgb="FFA9D18E"/>
      </patternFill>
    </fill>
    <fill>
      <patternFill patternType="solid">
        <fgColor rgb="FF92D050"/>
        <bgColor rgb="FF92D050"/>
      </patternFill>
    </fill>
    <fill>
      <patternFill patternType="solid">
        <fgColor rgb="FF9DC3E6"/>
        <bgColor rgb="FF9DC3E6"/>
      </patternFill>
    </fill>
    <fill>
      <patternFill patternType="solid">
        <fgColor rgb="FF00B0F0"/>
        <bgColor rgb="FF00B0F0"/>
      </patternFill>
    </fill>
    <fill>
      <patternFill patternType="solid">
        <fgColor rgb="FFDEEBF7"/>
        <bgColor rgb="FFDEEBF7"/>
      </patternFill>
    </fill>
    <fill>
      <patternFill patternType="solid">
        <fgColor theme="8"/>
        <bgColor theme="8"/>
      </patternFill>
    </fill>
  </fills>
  <borders count="73">
    <border/>
    <border>
      <bottom style="thin">
        <color rgb="FFFFFFFF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4A86E8"/>
      </left>
      <top style="thick">
        <color rgb="FF4A86E8"/>
      </top>
    </border>
    <border>
      <top style="thick">
        <color rgb="FF4A86E8"/>
      </top>
    </border>
    <border>
      <right style="thick">
        <color rgb="FF4A86E8"/>
      </right>
      <top style="thick">
        <color rgb="FF4A86E8"/>
      </top>
    </border>
    <border>
      <left style="thick">
        <color rgb="FF4A86E8"/>
      </left>
    </border>
    <border>
      <right style="thick">
        <color rgb="FF4A86E8"/>
      </right>
    </border>
    <border>
      <left style="thick">
        <color rgb="FF4A86E8"/>
      </left>
      <bottom style="thick">
        <color rgb="FF4A86E8"/>
      </bottom>
    </border>
    <border>
      <bottom style="thick">
        <color rgb="FF4A86E8"/>
      </bottom>
    </border>
    <border>
      <right style="thick">
        <color rgb="FF4A86E8"/>
      </right>
      <bottom style="thick">
        <color rgb="FF4A86E8"/>
      </bottom>
    </border>
    <border>
      <left style="thick">
        <color rgb="FF4A86E8"/>
      </left>
      <top style="thick">
        <color rgb="FF4A86E8"/>
      </top>
      <bottom style="medium">
        <color rgb="FF000000"/>
      </bottom>
    </border>
    <border>
      <right style="medium">
        <color rgb="FF000000"/>
      </right>
      <top style="thick">
        <color rgb="FF4A86E8"/>
      </top>
      <bottom style="medium">
        <color rgb="FF000000"/>
      </bottom>
    </border>
    <border>
      <left style="medium">
        <color rgb="FF000000"/>
      </left>
      <top style="thick">
        <color rgb="FF4A86E8"/>
      </top>
      <bottom style="medium">
        <color rgb="FF000000"/>
      </bottom>
    </border>
    <border>
      <right style="thin">
        <color rgb="FF000000"/>
      </right>
      <top style="thick">
        <color rgb="FF4A86E8"/>
      </top>
      <bottom style="medium">
        <color rgb="FF000000"/>
      </bottom>
    </border>
    <border>
      <top style="thick">
        <color rgb="FF4A86E8"/>
      </top>
      <bottom style="medium">
        <color rgb="FF000000"/>
      </bottom>
    </border>
    <border>
      <right style="thick">
        <color rgb="FF4A86E8"/>
      </right>
      <top style="thick">
        <color rgb="FF4A86E8"/>
      </top>
      <bottom style="medium">
        <color rgb="FF000000"/>
      </bottom>
    </border>
    <border>
      <left style="thick">
        <color rgb="FF4A86E8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ck">
        <color rgb="FF4A86E8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thick">
        <color rgb="FF4A86E8"/>
      </bottom>
    </border>
    <border>
      <left style="medium">
        <color rgb="FF000000"/>
      </left>
      <bottom style="thick">
        <color rgb="FF4A86E8"/>
      </bottom>
    </border>
    <border>
      <right style="thin">
        <color rgb="FF000000"/>
      </right>
      <bottom style="thick">
        <color rgb="FF4A86E8"/>
      </bottom>
    </border>
    <border>
      <left style="thick">
        <color rgb="FF4A86E8"/>
      </left>
      <top style="thick">
        <color rgb="FF4A86E8"/>
      </top>
      <bottom style="thick">
        <color rgb="FF4A86E8"/>
      </bottom>
    </border>
    <border>
      <top style="thick">
        <color rgb="FF4A86E8"/>
      </top>
      <bottom style="thick">
        <color rgb="FF4A86E8"/>
      </bottom>
    </border>
    <border>
      <right style="thick">
        <color rgb="FF4A86E8"/>
      </right>
      <top style="thick">
        <color rgb="FF4A86E8"/>
      </top>
      <bottom style="thick">
        <color rgb="FF4A86E8"/>
      </bottom>
    </border>
    <border>
      <left style="thick">
        <color rgb="FF4A86E8"/>
      </left>
      <right style="thick">
        <color rgb="FF4A86E8"/>
      </right>
      <top style="thick">
        <color rgb="FF4A86E8"/>
      </top>
      <bottom style="thick">
        <color rgb="FF4A86E8"/>
      </bottom>
    </border>
    <border>
      <left style="thin">
        <color rgb="FF000000"/>
      </left>
      <top style="thick">
        <color rgb="FF4A86E8"/>
      </top>
    </border>
    <border>
      <right style="thin">
        <color rgb="FF000000"/>
      </right>
      <top style="thick">
        <color rgb="FF4A86E8"/>
      </top>
    </border>
    <border>
      <left style="thin">
        <color rgb="FF000000"/>
      </left>
      <right style="thick">
        <color rgb="FF4A86E8"/>
      </right>
      <top style="thick">
        <color rgb="FF4A86E8"/>
      </top>
    </border>
    <border>
      <left style="thin">
        <color rgb="FF000000"/>
      </left>
      <right style="thick">
        <color rgb="FF4A86E8"/>
      </right>
    </border>
    <border>
      <left style="thick">
        <color rgb="FF4A86E8"/>
      </left>
      <bottom style="thin">
        <color rgb="FF000000"/>
      </bottom>
    </border>
    <border>
      <right style="thick">
        <color rgb="FF4A86E8"/>
      </right>
      <bottom style="thin">
        <color rgb="FF000000"/>
      </bottom>
    </border>
    <border>
      <left style="thin">
        <color rgb="FF000000"/>
      </left>
      <right style="thick">
        <color rgb="FF4A86E8"/>
      </right>
      <bottom style="thin">
        <color rgb="FF000000"/>
      </bottom>
    </border>
    <border>
      <left style="thin">
        <color rgb="FF000000"/>
      </left>
      <bottom style="thick">
        <color rgb="FF4A86E8"/>
      </bottom>
    </border>
    <border>
      <left style="thin">
        <color rgb="FF000000"/>
      </left>
      <right style="thick">
        <color rgb="FF4A86E8"/>
      </right>
      <bottom style="thick">
        <color rgb="FF4A86E8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49" xfId="0" applyAlignment="1" applyBorder="1" applyFill="1" applyFont="1" applyNumberFormat="1">
      <alignment horizontal="center" vertical="center"/>
    </xf>
    <xf borderId="5" fillId="0" fontId="3" numFmtId="0" xfId="0" applyBorder="1" applyFont="1"/>
    <xf borderId="0" fillId="2" fontId="1" numFmtId="0" xfId="0" applyAlignment="1" applyFont="1">
      <alignment vertical="center"/>
    </xf>
    <xf borderId="5" fillId="2" fontId="1" numFmtId="0" xfId="0" applyAlignment="1" applyBorder="1" applyFont="1">
      <alignment vertical="center"/>
    </xf>
    <xf borderId="4" fillId="0" fontId="3" numFmtId="0" xfId="0" applyBorder="1" applyFont="1"/>
    <xf borderId="6" fillId="0" fontId="3" numFmtId="0" xfId="0" applyBorder="1" applyFont="1"/>
    <xf borderId="1" fillId="0" fontId="3" numFmtId="0" xfId="0" applyBorder="1" applyFont="1"/>
    <xf borderId="7" fillId="0" fontId="3" numFmtId="0" xfId="0" applyBorder="1" applyFont="1"/>
    <xf borderId="4" fillId="2" fontId="4" numFmtId="49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6" fillId="4" fontId="5" numFmtId="49" xfId="0" applyAlignment="1" applyBorder="1" applyFill="1" applyFont="1" applyNumberFormat="1">
      <alignment horizontal="center" vertical="center"/>
    </xf>
    <xf borderId="8" fillId="2" fontId="1" numFmtId="0" xfId="0" applyAlignment="1" applyBorder="1" applyFont="1">
      <alignment vertical="center"/>
    </xf>
    <xf borderId="9" fillId="2" fontId="1" numFmtId="0" xfId="0" applyAlignment="1" applyBorder="1" applyFont="1">
      <alignment vertical="center"/>
    </xf>
    <xf borderId="6" fillId="2" fontId="4" numFmtId="49" xfId="0" applyAlignment="1" applyBorder="1" applyFont="1" applyNumberFormat="1">
      <alignment horizontal="center" shrinkToFit="0" vertical="center" wrapText="1"/>
    </xf>
    <xf borderId="7" fillId="2" fontId="1" numFmtId="49" xfId="0" applyAlignment="1" applyBorder="1" applyFont="1" applyNumberFormat="1">
      <alignment vertical="center"/>
    </xf>
    <xf borderId="6" fillId="3" fontId="5" numFmtId="49" xfId="0" applyAlignment="1" applyBorder="1" applyFont="1" applyNumberFormat="1">
      <alignment horizontal="center" vertical="center"/>
    </xf>
    <xf borderId="10" fillId="3" fontId="6" numFmtId="49" xfId="0" applyAlignment="1" applyBorder="1" applyFont="1" applyNumberForma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1" fillId="4" fontId="7" numFmtId="49" xfId="0" applyAlignment="1" applyBorder="1" applyFont="1" applyNumberFormat="1">
      <alignment horizontal="center" shrinkToFit="0" vertical="center" wrapText="1"/>
    </xf>
    <xf borderId="12" fillId="0" fontId="3" numFmtId="0" xfId="0" applyBorder="1" applyFont="1"/>
    <xf borderId="0" fillId="5" fontId="8" numFmtId="49" xfId="0" applyAlignment="1" applyFill="1" applyFont="1" applyNumberFormat="1">
      <alignment shrinkToFit="0" vertical="center" wrapText="1"/>
    </xf>
    <xf borderId="13" fillId="0" fontId="3" numFmtId="0" xfId="0" applyBorder="1" applyFont="1"/>
    <xf borderId="14" fillId="0" fontId="3" numFmtId="0" xfId="0" applyBorder="1" applyFont="1"/>
    <xf borderId="0" fillId="5" fontId="8" numFmtId="49" xfId="0" applyAlignment="1" applyFont="1" applyNumberFormat="1">
      <alignment readingOrder="0" shrinkToFit="0" vertical="center" wrapText="1"/>
    </xf>
    <xf borderId="0" fillId="5" fontId="8" numFmtId="49" xfId="0" applyAlignment="1" applyFont="1" applyNumberFormat="1">
      <alignment shrinkToFit="0" vertical="center" wrapText="1"/>
    </xf>
    <xf borderId="0" fillId="2" fontId="1" numFmtId="0" xfId="0" applyAlignment="1" applyFont="1">
      <alignment vertical="center"/>
    </xf>
    <xf borderId="0" fillId="2" fontId="1" numFmtId="0" xfId="0" applyAlignment="1" applyFont="1">
      <alignment vertical="bottom"/>
    </xf>
    <xf borderId="0" fillId="2" fontId="9" numFmtId="0" xfId="0" applyFont="1"/>
    <xf borderId="0" fillId="0" fontId="9" numFmtId="0" xfId="0" applyFont="1"/>
    <xf borderId="0" fillId="6" fontId="10" numFmtId="0" xfId="0" applyFill="1" applyFont="1"/>
    <xf borderId="0" fillId="6" fontId="11" numFmtId="0" xfId="0" applyFont="1"/>
    <xf borderId="0" fillId="2" fontId="11" numFmtId="0" xfId="0" applyFont="1"/>
    <xf borderId="0" fillId="2" fontId="10" numFmtId="0" xfId="0" applyFont="1"/>
    <xf borderId="15" fillId="2" fontId="12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5" fillId="3" fontId="13" numFmtId="0" xfId="0" applyAlignment="1" applyBorder="1" applyFont="1">
      <alignment horizontal="center" readingOrder="0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16" fillId="3" fontId="13" numFmtId="0" xfId="0" applyAlignment="1" applyBorder="1" applyFont="1">
      <alignment horizontal="center" readingOrder="0" shrinkToFit="0" vertical="center" wrapText="1"/>
    </xf>
    <xf borderId="23" fillId="3" fontId="13" numFmtId="0" xfId="0" applyAlignment="1" applyBorder="1" applyFont="1">
      <alignment horizontal="center" readingOrder="0" vertical="center"/>
    </xf>
    <xf borderId="24" fillId="0" fontId="3" numFmtId="0" xfId="0" applyBorder="1" applyFont="1"/>
    <xf borderId="25" fillId="3" fontId="13" numFmtId="0" xfId="0" applyAlignment="1" applyBorder="1" applyFont="1">
      <alignment horizontal="center" readingOrder="0" vertical="center"/>
    </xf>
    <xf borderId="26" fillId="0" fontId="3" numFmtId="0" xfId="0" applyBorder="1" applyFont="1"/>
    <xf borderId="27" fillId="3" fontId="13" numFmtId="0" xfId="0" applyAlignment="1" applyBorder="1" applyFont="1">
      <alignment horizontal="center" readingOrder="0" vertical="center"/>
    </xf>
    <xf borderId="28" fillId="0" fontId="3" numFmtId="0" xfId="0" applyBorder="1" applyFont="1"/>
    <xf borderId="29" fillId="7" fontId="14" numFmtId="0" xfId="0" applyAlignment="1" applyBorder="1" applyFill="1" applyFont="1">
      <alignment horizontal="center" readingOrder="0" shrinkToFit="0" vertical="center" wrapText="1"/>
    </xf>
    <xf borderId="30" fillId="0" fontId="3" numFmtId="0" xfId="0" applyBorder="1" applyFont="1"/>
    <xf borderId="31" fillId="7" fontId="14" numFmtId="0" xfId="0" applyAlignment="1" applyBorder="1" applyFont="1">
      <alignment horizontal="center" readingOrder="0" shrinkToFit="0" vertical="center" wrapText="1"/>
    </xf>
    <xf borderId="32" fillId="0" fontId="3" numFmtId="0" xfId="0" applyBorder="1" applyFont="1"/>
    <xf borderId="31" fillId="4" fontId="14" numFmtId="0" xfId="0" applyAlignment="1" applyBorder="1" applyFont="1">
      <alignment horizontal="center" readingOrder="0" shrinkToFit="0" vertical="center" wrapText="1"/>
    </xf>
    <xf borderId="33" fillId="7" fontId="14" numFmtId="0" xfId="0" applyAlignment="1" applyBorder="1" applyFont="1">
      <alignment horizontal="center" readingOrder="0" shrinkToFit="0" vertical="center" wrapText="1"/>
    </xf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0" fillId="2" fontId="15" numFmtId="0" xfId="0" applyAlignment="1" applyFont="1">
      <alignment readingOrder="0"/>
    </xf>
    <xf borderId="15" fillId="3" fontId="16" numFmtId="0" xfId="0" applyAlignment="1" applyBorder="1" applyFont="1">
      <alignment horizontal="center" readingOrder="0" vertical="center"/>
    </xf>
    <xf borderId="15" fillId="3" fontId="13" numFmtId="0" xfId="0" applyAlignment="1" applyBorder="1" applyFont="1">
      <alignment horizontal="center" readingOrder="0" vertical="center"/>
    </xf>
    <xf borderId="0" fillId="2" fontId="17" numFmtId="0" xfId="0" applyAlignment="1" applyFont="1">
      <alignment readingOrder="0"/>
    </xf>
    <xf borderId="0" fillId="8" fontId="13" numFmtId="0" xfId="0" applyAlignment="1" applyFill="1" applyFont="1">
      <alignment horizontal="center" readingOrder="0" shrinkToFit="0" vertical="center" wrapText="1"/>
    </xf>
    <xf borderId="0" fillId="2" fontId="18" numFmtId="0" xfId="0" applyAlignment="1" applyFont="1">
      <alignment readingOrder="0"/>
    </xf>
    <xf borderId="0" fillId="2" fontId="11" numFmtId="0" xfId="0" applyAlignment="1" applyFont="1">
      <alignment horizontal="center" shrinkToFit="0" vertical="center" wrapText="0"/>
    </xf>
    <xf borderId="19" fillId="2" fontId="19" numFmtId="0" xfId="0" applyAlignment="1" applyBorder="1" applyFont="1">
      <alignment horizontal="center" readingOrder="0" vertical="center"/>
    </xf>
    <xf borderId="16" fillId="3" fontId="19" numFmtId="0" xfId="0" applyAlignment="1" applyBorder="1" applyFont="1">
      <alignment horizontal="center" readingOrder="0" vertical="center"/>
    </xf>
    <xf borderId="16" fillId="2" fontId="19" numFmtId="0" xfId="0" applyAlignment="1" applyBorder="1" applyFont="1">
      <alignment horizontal="center" readingOrder="0" vertical="center"/>
    </xf>
    <xf borderId="17" fillId="2" fontId="19" numFmtId="0" xfId="0" applyAlignment="1" applyBorder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40" fillId="3" fontId="20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7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15" fillId="3" fontId="5" numFmtId="0" xfId="0" applyAlignment="1" applyBorder="1" applyFont="1">
      <alignment horizontal="center" readingOrder="0" shrinkToFit="0" vertical="center" wrapText="1"/>
    </xf>
    <xf borderId="44" fillId="3" fontId="5" numFmtId="0" xfId="0" applyAlignment="1" applyBorder="1" applyFont="1">
      <alignment horizontal="center" readingOrder="0" shrinkToFit="0" vertical="center" wrapText="1"/>
    </xf>
    <xf borderId="45" fillId="0" fontId="3" numFmtId="0" xfId="0" applyBorder="1" applyFont="1"/>
    <xf borderId="44" fillId="3" fontId="5" numFmtId="0" xfId="0" applyAlignment="1" applyBorder="1" applyFont="1">
      <alignment horizontal="center" shrinkToFit="0" vertical="center" wrapText="1"/>
    </xf>
    <xf borderId="46" fillId="3" fontId="5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18" fillId="0" fontId="22" numFmtId="0" xfId="0" applyAlignment="1" applyBorder="1" applyFont="1">
      <alignment horizontal="left" readingOrder="0" shrinkToFit="0" vertical="center" wrapText="1"/>
    </xf>
    <xf borderId="11" fillId="0" fontId="23" numFmtId="0" xfId="0" applyAlignment="1" applyBorder="1" applyFont="1">
      <alignment horizontal="center" readingOrder="0" shrinkToFit="0" vertical="center" wrapText="1"/>
    </xf>
    <xf borderId="11" fillId="5" fontId="24" numFmtId="0" xfId="0" applyAlignment="1" applyBorder="1" applyFont="1">
      <alignment horizontal="center" readingOrder="0" shrinkToFit="0" vertical="center" wrapText="1"/>
    </xf>
    <xf borderId="18" fillId="0" fontId="23" numFmtId="0" xfId="0" applyAlignment="1" applyBorder="1" applyFont="1">
      <alignment horizontal="center" readingOrder="0" shrinkToFit="0" vertical="center" wrapText="1"/>
    </xf>
    <xf borderId="0" fillId="0" fontId="25" numFmtId="164" xfId="0" applyAlignment="1" applyFont="1" applyNumberFormat="1">
      <alignment horizontal="center" readingOrder="0" shrinkToFit="0" vertical="center" wrapText="1"/>
    </xf>
    <xf borderId="11" fillId="0" fontId="24" numFmtId="0" xfId="0" applyAlignment="1" applyBorder="1" applyFont="1">
      <alignment horizontal="center" readingOrder="0" shrinkToFit="0" vertical="center" wrapText="1"/>
    </xf>
    <xf borderId="47" fillId="0" fontId="23" numFmtId="0" xfId="0" applyAlignment="1" applyBorder="1" applyFont="1">
      <alignment horizontal="center" readingOrder="0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18" fillId="7" fontId="26" numFmtId="0" xfId="0" applyAlignment="1" applyBorder="1" applyFont="1">
      <alignment horizontal="left" readingOrder="0" shrinkToFit="0" vertical="center" wrapText="1"/>
    </xf>
    <xf borderId="11" fillId="7" fontId="23" numFmtId="0" xfId="0" applyAlignment="1" applyBorder="1" applyFont="1">
      <alignment horizontal="center" readingOrder="0" shrinkToFit="0" vertical="center" wrapText="1"/>
    </xf>
    <xf borderId="11" fillId="7" fontId="24" numFmtId="0" xfId="0" applyAlignment="1" applyBorder="1" applyFont="1">
      <alignment horizontal="center" shrinkToFit="0" vertical="center" wrapText="1"/>
    </xf>
    <xf borderId="18" fillId="7" fontId="23" numFmtId="0" xfId="0" applyAlignment="1" applyBorder="1" applyFont="1">
      <alignment horizontal="center" readingOrder="0" shrinkToFit="0" vertical="center" wrapText="1"/>
    </xf>
    <xf borderId="0" fillId="7" fontId="25" numFmtId="164" xfId="0" applyAlignment="1" applyFont="1" applyNumberFormat="1">
      <alignment horizontal="center" readingOrder="0" shrinkToFit="0" vertical="center" wrapText="1"/>
    </xf>
    <xf borderId="47" fillId="7" fontId="23" numFmtId="0" xfId="0" applyAlignment="1" applyBorder="1" applyFont="1">
      <alignment horizontal="center" readingOrder="0" shrinkToFit="0" vertical="center" wrapText="1"/>
    </xf>
    <xf borderId="18" fillId="5" fontId="27" numFmtId="0" xfId="0" applyAlignment="1" applyBorder="1" applyFont="1">
      <alignment readingOrder="0" shrinkToFit="0" wrapText="1"/>
    </xf>
    <xf borderId="11" fillId="5" fontId="23" numFmtId="0" xfId="0" applyAlignment="1" applyBorder="1" applyFont="1">
      <alignment horizontal="center" readingOrder="0" shrinkToFit="0" wrapText="1"/>
    </xf>
    <xf borderId="11" fillId="5" fontId="1" numFmtId="0" xfId="0" applyBorder="1" applyFont="1"/>
    <xf borderId="0" fillId="2" fontId="1" numFmtId="0" xfId="0" applyAlignment="1" applyFont="1">
      <alignment vertical="bottom"/>
    </xf>
    <xf borderId="18" fillId="5" fontId="23" numFmtId="0" xfId="0" applyAlignment="1" applyBorder="1" applyFont="1">
      <alignment horizontal="center" readingOrder="0" shrinkToFit="0" wrapText="1"/>
    </xf>
    <xf borderId="0" fillId="5" fontId="28" numFmtId="0" xfId="0" applyAlignment="1" applyFont="1">
      <alignment horizontal="center" readingOrder="0" shrinkToFit="0" wrapText="1"/>
    </xf>
    <xf borderId="11" fillId="5" fontId="23" numFmtId="0" xfId="0" applyAlignment="1" applyBorder="1" applyFont="1">
      <alignment horizontal="center" readingOrder="0" shrinkToFit="0" vertical="center" wrapText="1"/>
    </xf>
    <xf borderId="47" fillId="5" fontId="23" numFmtId="0" xfId="0" applyAlignment="1" applyBorder="1" applyFont="1">
      <alignment horizontal="center" readingOrder="0" shrinkToFit="0" wrapText="1"/>
    </xf>
    <xf borderId="18" fillId="5" fontId="23" numFmtId="0" xfId="0" applyAlignment="1" applyBorder="1" applyFont="1">
      <alignment horizontal="center" readingOrder="0" shrinkToFit="0" vertical="center" wrapText="1"/>
    </xf>
    <xf borderId="0" fillId="5" fontId="25" numFmtId="164" xfId="0" applyAlignment="1" applyFont="1" applyNumberFormat="1">
      <alignment horizontal="center" readingOrder="0" shrinkToFit="0" vertical="center" wrapText="1"/>
    </xf>
    <xf borderId="11" fillId="5" fontId="24" numFmtId="0" xfId="0" applyAlignment="1" applyBorder="1" applyFont="1">
      <alignment horizontal="center" shrinkToFit="0" vertical="center" wrapText="1"/>
    </xf>
    <xf borderId="47" fillId="5" fontId="23" numFmtId="0" xfId="0" applyAlignment="1" applyBorder="1" applyFont="1">
      <alignment horizontal="center" readingOrder="0" shrinkToFit="0" vertical="center" wrapText="1"/>
    </xf>
    <xf borderId="18" fillId="7" fontId="29" numFmtId="0" xfId="0" applyAlignment="1" applyBorder="1" applyFont="1">
      <alignment readingOrder="0" shrinkToFit="0" vertical="bottom" wrapText="1"/>
    </xf>
    <xf borderId="11" fillId="7" fontId="23" numFmtId="0" xfId="0" applyAlignment="1" applyBorder="1" applyFont="1">
      <alignment horizontal="center" shrinkToFit="0" vertical="bottom" wrapText="1"/>
    </xf>
    <xf borderId="11" fillId="7" fontId="24" numFmtId="0" xfId="0" applyAlignment="1" applyBorder="1" applyFont="1">
      <alignment horizontal="center" readingOrder="0" shrinkToFit="0" vertical="center" wrapText="1"/>
    </xf>
    <xf borderId="18" fillId="7" fontId="23" numFmtId="0" xfId="0" applyAlignment="1" applyBorder="1" applyFont="1">
      <alignment horizontal="center" readingOrder="0" shrinkToFit="0" vertical="bottom" wrapText="1"/>
    </xf>
    <xf borderId="0" fillId="7" fontId="28" numFmtId="164" xfId="0" applyAlignment="1" applyFont="1" applyNumberFormat="1">
      <alignment horizontal="center" readingOrder="0" shrinkToFit="0" vertical="bottom" wrapText="1"/>
    </xf>
    <xf borderId="11" fillId="7" fontId="1" numFmtId="0" xfId="0" applyAlignment="1" applyBorder="1" applyFont="1">
      <alignment vertical="bottom"/>
    </xf>
    <xf borderId="47" fillId="7" fontId="23" numFmtId="0" xfId="0" applyAlignment="1" applyBorder="1" applyFont="1">
      <alignment horizontal="center" readingOrder="0" shrinkToFit="0" vertical="bottom" wrapText="1"/>
    </xf>
    <xf borderId="0" fillId="7" fontId="25" numFmtId="0" xfId="0" applyAlignment="1" applyFont="1">
      <alignment horizontal="center" readingOrder="0" shrinkToFit="0" vertical="center" wrapText="1"/>
    </xf>
    <xf borderId="18" fillId="5" fontId="30" numFmtId="0" xfId="0" applyAlignment="1" applyBorder="1" applyFont="1">
      <alignment readingOrder="0" shrinkToFit="0" vertical="bottom" wrapText="1"/>
    </xf>
    <xf borderId="11" fillId="5" fontId="23" numFmtId="0" xfId="0" applyAlignment="1" applyBorder="1" applyFont="1">
      <alignment horizontal="center" shrinkToFit="0" vertical="bottom" wrapText="1"/>
    </xf>
    <xf borderId="11" fillId="5" fontId="1" numFmtId="0" xfId="0" applyAlignment="1" applyBorder="1" applyFont="1">
      <alignment vertical="bottom"/>
    </xf>
    <xf borderId="18" fillId="5" fontId="23" numFmtId="0" xfId="0" applyAlignment="1" applyBorder="1" applyFont="1">
      <alignment horizontal="center" readingOrder="0" shrinkToFit="0" vertical="bottom" wrapText="1"/>
    </xf>
    <xf borderId="0" fillId="5" fontId="28" numFmtId="164" xfId="0" applyAlignment="1" applyFont="1" applyNumberFormat="1">
      <alignment horizontal="center" shrinkToFit="0" vertical="bottom" wrapText="1"/>
    </xf>
    <xf borderId="47" fillId="5" fontId="23" numFmtId="0" xfId="0" applyAlignment="1" applyBorder="1" applyFont="1">
      <alignment horizontal="center" shrinkToFit="0" vertical="bottom" wrapText="1"/>
    </xf>
    <xf borderId="18" fillId="7" fontId="31" numFmtId="0" xfId="0" applyAlignment="1" applyBorder="1" applyFont="1">
      <alignment readingOrder="0" shrinkToFit="0" wrapText="1"/>
    </xf>
    <xf borderId="11" fillId="7" fontId="23" numFmtId="0" xfId="0" applyAlignment="1" applyBorder="1" applyFont="1">
      <alignment horizontal="center" shrinkToFit="0" wrapText="1"/>
    </xf>
    <xf borderId="18" fillId="7" fontId="23" numFmtId="0" xfId="0" applyAlignment="1" applyBorder="1" applyFont="1">
      <alignment horizontal="center" readingOrder="0" shrinkToFit="0" wrapText="1"/>
    </xf>
    <xf borderId="0" fillId="7" fontId="28" numFmtId="164" xfId="0" applyAlignment="1" applyFont="1" applyNumberFormat="1">
      <alignment horizontal="center" shrinkToFit="0" wrapText="1"/>
    </xf>
    <xf borderId="11" fillId="7" fontId="1" numFmtId="0" xfId="0" applyBorder="1" applyFont="1"/>
    <xf borderId="47" fillId="7" fontId="1" numFmtId="0" xfId="0" applyBorder="1" applyFont="1"/>
    <xf borderId="18" fillId="5" fontId="32" numFmtId="0" xfId="0" applyAlignment="1" applyBorder="1" applyFon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7" fontId="25" numFmtId="0" xfId="0" applyAlignment="1" applyFont="1">
      <alignment horizontal="center" shrinkToFit="0" vertical="center" wrapText="1"/>
    </xf>
    <xf borderId="18" fillId="0" fontId="23" numFmtId="0" xfId="0" applyAlignment="1" applyBorder="1" applyFont="1">
      <alignment horizontal="left" readingOrder="0" shrinkToFit="0" vertical="center" wrapText="1"/>
    </xf>
    <xf borderId="0" fillId="0" fontId="25" numFmtId="0" xfId="0" applyAlignment="1" applyFont="1">
      <alignment horizontal="center" shrinkToFit="0" vertical="center" wrapText="1"/>
    </xf>
    <xf borderId="18" fillId="7" fontId="23" numFmtId="0" xfId="0" applyAlignment="1" applyBorder="1" applyFont="1">
      <alignment horizontal="left" readingOrder="0" shrinkToFit="0" vertical="center" wrapText="1"/>
    </xf>
    <xf borderId="20" fillId="0" fontId="23" numFmtId="0" xfId="0" applyAlignment="1" applyBorder="1" applyFont="1">
      <alignment horizontal="left" readingOrder="0" shrinkToFit="0" vertical="center" wrapText="1"/>
    </xf>
    <xf borderId="51" fillId="0" fontId="23" numFmtId="0" xfId="0" applyAlignment="1" applyBorder="1" applyFont="1">
      <alignment horizontal="center" readingOrder="0" shrinkToFit="0" vertical="center" wrapText="1"/>
    </xf>
    <xf borderId="51" fillId="0" fontId="24" numFmtId="0" xfId="0" applyAlignment="1" applyBorder="1" applyFont="1">
      <alignment horizontal="center" shrinkToFit="0" vertical="center" wrapText="1"/>
    </xf>
    <xf borderId="20" fillId="0" fontId="23" numFmtId="0" xfId="0" applyAlignment="1" applyBorder="1" applyFont="1">
      <alignment horizontal="center" readingOrder="0" shrinkToFit="0" vertical="center" wrapText="1"/>
    </xf>
    <xf borderId="21" fillId="0" fontId="25" numFmtId="0" xfId="0" applyAlignment="1" applyBorder="1" applyFont="1">
      <alignment horizontal="center" shrinkToFit="0" vertical="center" wrapText="1"/>
    </xf>
    <xf borderId="52" fillId="0" fontId="23" numFmtId="0" xfId="0" applyAlignment="1" applyBorder="1" applyFont="1">
      <alignment horizontal="center" readingOrder="0" shrinkToFit="0" vertical="center" wrapText="1"/>
    </xf>
    <xf borderId="0" fillId="2" fontId="33" numFmtId="0" xfId="0" applyFont="1"/>
    <xf borderId="11" fillId="7" fontId="23" numFmtId="0" xfId="0" applyAlignment="1" applyBorder="1" applyFont="1">
      <alignment horizontal="center" readingOrder="0" shrinkToFit="0" wrapText="1"/>
    </xf>
    <xf borderId="0" fillId="7" fontId="28" numFmtId="0" xfId="0" applyAlignment="1" applyFont="1">
      <alignment horizontal="center" readingOrder="0" shrinkToFit="0" wrapText="1"/>
    </xf>
    <xf borderId="47" fillId="7" fontId="23" numFmtId="0" xfId="0" applyAlignment="1" applyBorder="1" applyFont="1">
      <alignment horizontal="center" readingOrder="0" shrinkToFit="0" wrapText="1"/>
    </xf>
    <xf borderId="11" fillId="7" fontId="1" numFmtId="0" xfId="0" applyAlignment="1" applyBorder="1" applyFont="1">
      <alignment readingOrder="0"/>
    </xf>
    <xf borderId="11" fillId="5" fontId="1" numFmtId="0" xfId="0" applyBorder="1" applyFont="1"/>
    <xf borderId="18" fillId="5" fontId="23" numFmtId="0" xfId="0" applyAlignment="1" applyBorder="1" applyFont="1">
      <alignment horizontal="left" readingOrder="0" shrinkToFit="0" vertical="center" wrapText="1"/>
    </xf>
    <xf borderId="4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46" fillId="3" fontId="5" numFmtId="0" xfId="0" applyAlignment="1" applyBorder="1" applyFont="1">
      <alignment horizontal="center" shrinkToFit="0" vertical="center" wrapText="1"/>
    </xf>
    <xf borderId="18" fillId="0" fontId="34" numFmtId="0" xfId="0" applyAlignment="1" applyBorder="1" applyFont="1">
      <alignment shrinkToFit="0" wrapText="1"/>
    </xf>
    <xf borderId="11" fillId="0" fontId="23" numFmtId="0" xfId="0" applyAlignment="1" applyBorder="1" applyFont="1">
      <alignment horizontal="center" shrinkToFit="0" wrapText="1"/>
    </xf>
    <xf borderId="11" fillId="0" fontId="1" numFmtId="0" xfId="0" applyBorder="1" applyFont="1"/>
    <xf borderId="18" fillId="0" fontId="23" numFmtId="0" xfId="0" applyAlignment="1" applyBorder="1" applyFont="1">
      <alignment horizontal="center" readingOrder="0" shrinkToFit="0" wrapText="1"/>
    </xf>
    <xf borderId="0" fillId="0" fontId="28" numFmtId="164" xfId="0" applyAlignment="1" applyFont="1" applyNumberFormat="1">
      <alignment horizontal="center" shrinkToFit="0" wrapText="1"/>
    </xf>
    <xf borderId="47" fillId="0" fontId="23" numFmtId="0" xfId="0" applyAlignment="1" applyBorder="1" applyFont="1">
      <alignment horizontal="center" shrinkToFit="0" wrapText="1"/>
    </xf>
    <xf borderId="11" fillId="0" fontId="1" numFmtId="0" xfId="0" applyBorder="1" applyFont="1"/>
    <xf borderId="11" fillId="7" fontId="23" numFmtId="0" xfId="0" applyAlignment="1" applyBorder="1" applyFont="1">
      <alignment horizontal="center" readingOrder="0" shrinkToFit="0" vertical="bottom" wrapText="1"/>
    </xf>
    <xf borderId="18" fillId="7" fontId="23" numFmtId="0" xfId="0" applyAlignment="1" applyBorder="1" applyFont="1">
      <alignment horizontal="center" shrinkToFit="0" vertical="bottom" wrapText="1"/>
    </xf>
    <xf borderId="11" fillId="7" fontId="1" numFmtId="0" xfId="0" applyAlignment="1" applyBorder="1" applyFont="1">
      <alignment vertical="bottom"/>
    </xf>
    <xf borderId="11" fillId="5" fontId="23" numFmtId="0" xfId="0" applyAlignment="1" applyBorder="1" applyFont="1">
      <alignment horizontal="center" readingOrder="0" shrinkToFit="0" vertical="bottom" wrapText="1"/>
    </xf>
    <xf borderId="0" fillId="5" fontId="28" numFmtId="164" xfId="0" applyAlignment="1" applyFont="1" applyNumberFormat="1">
      <alignment horizontal="center" readingOrder="0" shrinkToFit="0" vertical="bottom" wrapText="1"/>
    </xf>
    <xf borderId="18" fillId="5" fontId="23" numFmtId="0" xfId="0" applyAlignment="1" applyBorder="1" applyFont="1">
      <alignment horizontal="center" shrinkToFit="0" vertical="bottom" wrapText="1"/>
    </xf>
    <xf borderId="11" fillId="5" fontId="1" numFmtId="0" xfId="0" applyAlignment="1" applyBorder="1" applyFont="1">
      <alignment vertical="bottom"/>
    </xf>
    <xf borderId="18" fillId="7" fontId="23" numFmtId="0" xfId="0" applyAlignment="1" applyBorder="1" applyFont="1">
      <alignment horizontal="center" shrinkToFit="0" wrapText="1"/>
    </xf>
    <xf borderId="11" fillId="7" fontId="1" numFmtId="0" xfId="0" applyBorder="1" applyFont="1"/>
    <xf borderId="11" fillId="5" fontId="23" numFmtId="0" xfId="0" applyAlignment="1" applyBorder="1" applyFont="1">
      <alignment horizontal="center" shrinkToFit="0" wrapText="1"/>
    </xf>
    <xf borderId="0" fillId="5" fontId="28" numFmtId="164" xfId="0" applyAlignment="1" applyFont="1" applyNumberFormat="1">
      <alignment horizontal="center" shrinkToFit="0" wrapText="1"/>
    </xf>
    <xf borderId="47" fillId="5" fontId="23" numFmtId="0" xfId="0" applyAlignment="1" applyBorder="1" applyFont="1">
      <alignment horizontal="center" shrinkToFit="0" wrapText="1"/>
    </xf>
    <xf borderId="0" fillId="7" fontId="28" numFmtId="164" xfId="0" applyAlignment="1" applyFont="1" applyNumberFormat="1">
      <alignment horizontal="center" readingOrder="0" shrinkToFit="0" wrapText="1"/>
    </xf>
    <xf borderId="18" fillId="5" fontId="23" numFmtId="0" xfId="0" applyAlignment="1" applyBorder="1" applyFont="1">
      <alignment horizontal="center" shrinkToFit="0" wrapText="1"/>
    </xf>
    <xf borderId="18" fillId="7" fontId="1" numFmtId="0" xfId="0" applyBorder="1" applyFont="1"/>
    <xf borderId="0" fillId="7" fontId="1" numFmtId="0" xfId="0" applyFont="1"/>
    <xf borderId="18" fillId="0" fontId="1" numFmtId="0" xfId="0" applyBorder="1" applyFont="1"/>
    <xf borderId="0" fillId="0" fontId="1" numFmtId="0" xfId="0" applyFont="1"/>
    <xf borderId="47" fillId="0" fontId="1" numFmtId="0" xfId="0" applyBorder="1" applyFont="1"/>
    <xf borderId="20" fillId="0" fontId="1" numFmtId="0" xfId="0" applyBorder="1" applyFont="1"/>
    <xf borderId="51" fillId="0" fontId="1" numFmtId="0" xfId="0" applyBorder="1" applyFont="1"/>
    <xf borderId="51" fillId="0" fontId="1" numFmtId="0" xfId="0" applyBorder="1" applyFont="1"/>
    <xf borderId="21" fillId="0" fontId="1" numFmtId="0" xfId="0" applyBorder="1" applyFont="1"/>
    <xf borderId="52" fillId="0" fontId="1" numFmtId="0" xfId="0" applyBorder="1" applyFont="1"/>
    <xf borderId="0" fillId="2" fontId="35" numFmtId="0" xfId="0" applyFont="1"/>
    <xf borderId="16" fillId="3" fontId="19" numFmtId="0" xfId="0" applyAlignment="1" applyBorder="1" applyFont="1">
      <alignment horizontal="left" readingOrder="0" vertical="center"/>
    </xf>
    <xf borderId="0" fillId="5" fontId="28" numFmtId="164" xfId="0" applyAlignment="1" applyFont="1" applyNumberFormat="1">
      <alignment horizontal="center" readingOrder="0" shrinkToFit="0" wrapText="1"/>
    </xf>
    <xf borderId="18" fillId="7" fontId="36" numFmtId="0" xfId="0" applyAlignment="1" applyBorder="1" applyFont="1">
      <alignment shrinkToFit="0" wrapText="1"/>
    </xf>
    <xf borderId="47" fillId="7" fontId="23" numFmtId="0" xfId="0" applyAlignment="1" applyBorder="1" applyFont="1">
      <alignment horizontal="center" shrinkToFit="0" wrapText="1"/>
    </xf>
    <xf borderId="0" fillId="5" fontId="25" numFmtId="0" xfId="0" applyAlignment="1" applyFont="1">
      <alignment horizontal="center" readingOrder="0" shrinkToFit="0" vertical="center" wrapText="1"/>
    </xf>
    <xf borderId="18" fillId="7" fontId="23" numFmtId="0" xfId="0" applyAlignment="1" applyBorder="1" applyFont="1">
      <alignment horizontal="left" readingOrder="0" shrinkToFit="0" vertical="center" wrapText="1"/>
    </xf>
    <xf borderId="18" fillId="7" fontId="23" numFmtId="0" xfId="0" applyAlignment="1" applyBorder="1" applyFont="1">
      <alignment readingOrder="0" shrinkToFit="0" wrapText="1"/>
    </xf>
    <xf borderId="47" fillId="7" fontId="23" numFmtId="0" xfId="0" applyAlignment="1" applyBorder="1" applyFont="1">
      <alignment horizontal="center" shrinkToFit="0" vertical="bottom" wrapText="1"/>
    </xf>
    <xf borderId="15" fillId="3" fontId="37" numFmtId="0" xfId="0" applyAlignment="1" applyBorder="1" applyFont="1">
      <alignment horizontal="left" readingOrder="0" vertical="center"/>
    </xf>
    <xf borderId="40" fillId="3" fontId="38" numFmtId="0" xfId="0" applyAlignment="1" applyBorder="1" applyFont="1">
      <alignment horizontal="center" vertical="center"/>
    </xf>
    <xf borderId="43" fillId="7" fontId="38" numFmtId="0" xfId="0" applyAlignment="1" applyBorder="1" applyFont="1">
      <alignment horizontal="center" readingOrder="0"/>
    </xf>
    <xf borderId="0" fillId="2" fontId="1" numFmtId="0" xfId="0" applyFont="1"/>
    <xf borderId="44" fillId="3" fontId="5" numFmtId="49" xfId="0" applyAlignment="1" applyBorder="1" applyFont="1" applyNumberFormat="1">
      <alignment horizontal="center" shrinkToFit="0" vertical="center" wrapText="1"/>
    </xf>
    <xf borderId="18" fillId="0" fontId="23" numFmtId="0" xfId="0" applyAlignment="1" applyBorder="1" applyFont="1">
      <alignment horizontal="center" readingOrder="0" shrinkToFit="0" vertical="center" wrapText="1"/>
    </xf>
    <xf borderId="0" fillId="0" fontId="28" numFmtId="164" xfId="0" applyAlignment="1" applyFont="1" applyNumberFormat="1">
      <alignment horizontal="center" shrinkToFit="0" vertical="center" wrapText="1"/>
    </xf>
    <xf borderId="11" fillId="0" fontId="23" numFmtId="49" xfId="0" applyAlignment="1" applyBorder="1" applyFont="1" applyNumberFormat="1">
      <alignment horizontal="center" shrinkToFit="0" vertical="center" wrapText="1"/>
    </xf>
    <xf borderId="47" fillId="0" fontId="1" numFmtId="0" xfId="0" applyAlignment="1" applyBorder="1" applyFont="1">
      <alignment vertical="center"/>
    </xf>
    <xf borderId="18" fillId="7" fontId="23" numFmtId="0" xfId="0" applyAlignment="1" applyBorder="1" applyFont="1">
      <alignment horizontal="center" shrinkToFit="0" vertical="center" wrapText="1"/>
    </xf>
    <xf borderId="0" fillId="7" fontId="28" numFmtId="164" xfId="0" applyAlignment="1" applyFont="1" applyNumberFormat="1">
      <alignment horizontal="center" shrinkToFit="0" vertical="center" wrapText="1"/>
    </xf>
    <xf borderId="11" fillId="7" fontId="23" numFmtId="49" xfId="0" applyAlignment="1" applyBorder="1" applyFont="1" applyNumberFormat="1">
      <alignment horizontal="center" shrinkToFit="0" vertical="center" wrapText="1"/>
    </xf>
    <xf borderId="11" fillId="7" fontId="1" numFmtId="0" xfId="0" applyAlignment="1" applyBorder="1" applyFont="1">
      <alignment vertical="center"/>
    </xf>
    <xf borderId="47" fillId="7" fontId="1" numFmtId="0" xfId="0" applyAlignment="1" applyBorder="1" applyFont="1">
      <alignment vertical="center"/>
    </xf>
    <xf borderId="18" fillId="0" fontId="23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  <xf borderId="18" fillId="7" fontId="23" numFmtId="0" xfId="0" applyAlignment="1" applyBorder="1" applyFont="1">
      <alignment horizontal="center" readingOrder="0" shrinkToFit="0" vertical="center" wrapText="1"/>
    </xf>
    <xf borderId="0" fillId="7" fontId="28" numFmtId="0" xfId="0" applyAlignment="1" applyFont="1">
      <alignment horizontal="center" shrinkToFit="0" vertical="center" wrapText="1"/>
    </xf>
    <xf borderId="47" fillId="7" fontId="23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47" fillId="0" fontId="23" numFmtId="0" xfId="0" applyAlignment="1" applyBorder="1" applyFont="1">
      <alignment horizontal="center" shrinkToFit="0" vertical="center" wrapText="1"/>
    </xf>
    <xf borderId="18" fillId="7" fontId="1" numFmtId="0" xfId="0" applyAlignment="1" applyBorder="1" applyFont="1">
      <alignment vertical="center"/>
    </xf>
    <xf borderId="0" fillId="7" fontId="1" numFmtId="0" xfId="0" applyAlignment="1" applyFont="1">
      <alignment vertical="center"/>
    </xf>
    <xf borderId="11" fillId="7" fontId="1" numFmtId="49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1" fillId="0" fontId="1" numFmtId="49" xfId="0" applyAlignment="1" applyBorder="1" applyFont="1" applyNumberFormat="1">
      <alignment vertical="center"/>
    </xf>
    <xf borderId="20" fillId="0" fontId="1" numFmtId="0" xfId="0" applyAlignment="1" applyBorder="1" applyFont="1">
      <alignment vertical="center"/>
    </xf>
    <xf borderId="21" fillId="0" fontId="1" numFmtId="0" xfId="0" applyAlignment="1" applyBorder="1" applyFont="1">
      <alignment vertical="center"/>
    </xf>
    <xf borderId="51" fillId="0" fontId="1" numFmtId="49" xfId="0" applyAlignment="1" applyBorder="1" applyFont="1" applyNumberFormat="1">
      <alignment vertical="center"/>
    </xf>
    <xf borderId="51" fillId="0" fontId="1" numFmtId="0" xfId="0" applyAlignment="1" applyBorder="1" applyFont="1">
      <alignment vertical="center"/>
    </xf>
    <xf borderId="52" fillId="0" fontId="1" numFmtId="0" xfId="0" applyAlignment="1" applyBorder="1" applyFont="1">
      <alignment vertical="center"/>
    </xf>
    <xf borderId="0" fillId="2" fontId="1" numFmtId="49" xfId="0" applyAlignment="1" applyFont="1" applyNumberFormat="1">
      <alignment vertical="center"/>
    </xf>
    <xf borderId="0" fillId="0" fontId="28" numFmtId="164" xfId="0" applyAlignment="1" applyFont="1" applyNumberFormat="1">
      <alignment horizontal="center" readingOrder="0" shrinkToFit="0" vertical="center" wrapText="1"/>
    </xf>
    <xf borderId="11" fillId="0" fontId="23" numFmtId="49" xfId="0" applyAlignment="1" applyBorder="1" applyFont="1" applyNumberFormat="1">
      <alignment horizontal="center" readingOrder="0" shrinkToFit="0" vertical="center" wrapText="1"/>
    </xf>
    <xf borderId="18" fillId="5" fontId="23" numFmtId="0" xfId="0" applyAlignment="1" applyBorder="1" applyFont="1">
      <alignment horizontal="center" readingOrder="0" shrinkToFit="0" vertical="center" wrapText="1"/>
    </xf>
    <xf borderId="0" fillId="5" fontId="28" numFmtId="164" xfId="0" applyAlignment="1" applyFont="1" applyNumberFormat="1">
      <alignment horizontal="center" shrinkToFit="0" vertical="center" wrapText="1"/>
    </xf>
    <xf borderId="11" fillId="5" fontId="23" numFmtId="49" xfId="0" applyAlignment="1" applyBorder="1" applyFont="1" applyNumberFormat="1">
      <alignment horizontal="center" shrinkToFit="0" vertical="center" wrapText="1"/>
    </xf>
    <xf borderId="11" fillId="5" fontId="1" numFmtId="0" xfId="0" applyAlignment="1" applyBorder="1" applyFont="1">
      <alignment vertical="center"/>
    </xf>
    <xf borderId="47" fillId="5" fontId="1" numFmtId="0" xfId="0" applyAlignment="1" applyBorder="1" applyFont="1">
      <alignment vertical="center"/>
    </xf>
    <xf borderId="47" fillId="7" fontId="23" numFmtId="0" xfId="0" applyAlignment="1" applyBorder="1" applyFont="1">
      <alignment horizontal="center" readingOrder="0" shrinkToFit="0" vertical="center" wrapText="1"/>
    </xf>
    <xf borderId="0" fillId="5" fontId="28" numFmtId="0" xfId="0" applyAlignment="1" applyFont="1">
      <alignment horizontal="center" readingOrder="0" shrinkToFit="0" vertical="center" wrapText="1"/>
    </xf>
    <xf borderId="11" fillId="5" fontId="23" numFmtId="49" xfId="0" applyAlignment="1" applyBorder="1" applyFont="1" applyNumberFormat="1">
      <alignment horizontal="center" readingOrder="0" shrinkToFit="0" vertical="center" wrapText="1"/>
    </xf>
    <xf borderId="47" fillId="5" fontId="23" numFmtId="0" xfId="0" applyAlignment="1" applyBorder="1" applyFont="1">
      <alignment horizontal="center" readingOrder="0" shrinkToFit="0" vertical="center" wrapText="1"/>
    </xf>
    <xf borderId="0" fillId="7" fontId="28" numFmtId="0" xfId="0" applyAlignment="1" applyFont="1">
      <alignment horizontal="center" readingOrder="0" shrinkToFit="0" vertical="center" wrapText="1"/>
    </xf>
    <xf borderId="11" fillId="7" fontId="23" numFmtId="49" xfId="0" applyAlignment="1" applyBorder="1" applyFont="1" applyNumberFormat="1">
      <alignment horizontal="center" readingOrder="0" shrinkToFit="0" vertical="center" wrapText="1"/>
    </xf>
    <xf borderId="47" fillId="5" fontId="23" numFmtId="0" xfId="0" applyAlignment="1" applyBorder="1" applyFont="1">
      <alignment horizontal="center" shrinkToFit="0" vertical="center" wrapText="1"/>
    </xf>
    <xf borderId="0" fillId="7" fontId="28" numFmtId="164" xfId="0" applyAlignment="1" applyFont="1" applyNumberFormat="1">
      <alignment horizontal="center" readingOrder="0" shrinkToFit="0" vertical="center" wrapText="1"/>
    </xf>
    <xf borderId="18" fillId="0" fontId="23" numFmtId="0" xfId="0" applyAlignment="1" applyBorder="1" applyFont="1">
      <alignment horizontal="left" readingOrder="0" shrinkToFit="0" vertical="center" wrapText="1"/>
    </xf>
    <xf borderId="18" fillId="9" fontId="39" numFmtId="0" xfId="0" applyAlignment="1" applyBorder="1" applyFill="1" applyFont="1">
      <alignment horizontal="left" readingOrder="0" shrinkToFit="0" vertical="center" wrapText="1"/>
    </xf>
    <xf borderId="11" fillId="9" fontId="23" numFmtId="0" xfId="0" applyAlignment="1" applyBorder="1" applyFont="1">
      <alignment horizontal="center" readingOrder="0" shrinkToFit="0" vertical="center" wrapText="1"/>
    </xf>
    <xf borderId="11" fillId="9" fontId="24" numFmtId="0" xfId="0" applyAlignment="1" applyBorder="1" applyFont="1">
      <alignment horizontal="center" readingOrder="0" shrinkToFit="0" vertical="center" wrapText="1"/>
    </xf>
    <xf borderId="18" fillId="9" fontId="23" numFmtId="0" xfId="0" applyAlignment="1" applyBorder="1" applyFont="1">
      <alignment horizontal="center" readingOrder="0" shrinkToFit="0" vertical="center" wrapText="1"/>
    </xf>
    <xf borderId="0" fillId="9" fontId="28" numFmtId="0" xfId="0" applyAlignment="1" applyFont="1">
      <alignment horizontal="center" readingOrder="0" shrinkToFit="0" vertical="center" wrapText="1"/>
    </xf>
    <xf borderId="11" fillId="9" fontId="23" numFmtId="49" xfId="0" applyAlignment="1" applyBorder="1" applyFont="1" applyNumberFormat="1">
      <alignment horizontal="center" shrinkToFit="0" vertical="center" wrapText="1"/>
    </xf>
    <xf borderId="47" fillId="9" fontId="23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11" fillId="7" fontId="24" numFmtId="0" xfId="0" applyAlignment="1" applyBorder="1" applyFont="1">
      <alignment horizontal="center" shrinkToFit="0" vertical="center" wrapText="1"/>
    </xf>
    <xf borderId="47" fillId="0" fontId="23" numFmtId="0" xfId="0" applyAlignment="1" applyBorder="1" applyFont="1">
      <alignment horizontal="center" readingOrder="0" shrinkToFit="0" vertical="center" wrapText="1"/>
    </xf>
    <xf borderId="18" fillId="7" fontId="40" numFmtId="0" xfId="0" applyAlignment="1" applyBorder="1" applyFont="1">
      <alignment readingOrder="0" vertical="center"/>
    </xf>
    <xf borderId="0" fillId="7" fontId="40" numFmtId="0" xfId="0" applyAlignment="1" applyFont="1">
      <alignment readingOrder="0" vertical="center"/>
    </xf>
    <xf borderId="0" fillId="2" fontId="41" numFmtId="0" xfId="0" applyFont="1"/>
    <xf borderId="0" fillId="2" fontId="41" numFmtId="0" xfId="0" applyAlignment="1" applyFont="1">
      <alignment horizontal="center" shrinkToFit="0" vertical="center" wrapText="0"/>
    </xf>
    <xf borderId="0" fillId="2" fontId="41" numFmtId="0" xfId="0" applyAlignment="1" applyFont="1">
      <alignment horizontal="center" shrinkToFit="0" vertical="center" wrapText="0"/>
    </xf>
    <xf borderId="31" fillId="10" fontId="42" numFmtId="0" xfId="0" applyAlignment="1" applyBorder="1" applyFill="1" applyFont="1">
      <alignment horizontal="center" readingOrder="0" shrinkToFit="0" vertical="center" wrapText="0"/>
    </xf>
    <xf borderId="33" fillId="0" fontId="3" numFmtId="0" xfId="0" applyBorder="1" applyFont="1"/>
    <xf borderId="53" fillId="5" fontId="43" numFmtId="0" xfId="0" applyAlignment="1" applyBorder="1" applyFont="1">
      <alignment horizontal="center" readingOrder="0" shrinkToFit="0" vertical="center" wrapText="0"/>
    </xf>
    <xf borderId="54" fillId="0" fontId="3" numFmtId="0" xfId="0" applyBorder="1" applyFont="1"/>
    <xf borderId="11" fillId="2" fontId="20" numFmtId="0" xfId="0" applyAlignment="1" applyBorder="1" applyFont="1">
      <alignment horizontal="center" readingOrder="0" shrinkToFit="0" vertical="center" wrapText="0"/>
    </xf>
    <xf borderId="53" fillId="10" fontId="42" numFmtId="0" xfId="0" applyAlignment="1" applyBorder="1" applyFont="1">
      <alignment horizontal="center" readingOrder="0" shrinkToFit="0" vertical="center" wrapText="0"/>
    </xf>
    <xf borderId="55" fillId="0" fontId="3" numFmtId="0" xfId="0" applyBorder="1" applyFont="1"/>
    <xf borderId="55" fillId="0" fontId="6" numFmtId="0" xfId="0" applyAlignment="1" applyBorder="1" applyFont="1">
      <alignment horizontal="center" readingOrder="0" shrinkToFit="0" vertical="center" wrapText="0"/>
    </xf>
    <xf borderId="56" fillId="0" fontId="3" numFmtId="0" xfId="0" applyBorder="1" applyFont="1"/>
    <xf borderId="57" fillId="0" fontId="3" numFmtId="0" xfId="0" applyBorder="1" applyFont="1"/>
    <xf borderId="0" fillId="2" fontId="20" numFmtId="0" xfId="0" applyAlignment="1" applyFont="1">
      <alignment horizontal="center" readingOrder="0" shrinkToFit="0" vertical="center" wrapText="0"/>
    </xf>
    <xf borderId="31" fillId="10" fontId="43" numFmtId="0" xfId="0" applyAlignment="1" applyBorder="1" applyFont="1">
      <alignment horizontal="center" readingOrder="0" shrinkToFit="0" vertical="center" wrapText="0"/>
    </xf>
    <xf borderId="58" fillId="10" fontId="43" numFmtId="0" xfId="0" applyAlignment="1" applyBorder="1" applyFont="1">
      <alignment horizontal="center" readingOrder="0" shrinkToFit="0" vertical="center" wrapText="0"/>
    </xf>
    <xf borderId="59" fillId="0" fontId="3" numFmtId="0" xfId="0" applyBorder="1" applyFont="1"/>
    <xf borderId="60" fillId="0" fontId="43" numFmtId="0" xfId="0" applyAlignment="1" applyBorder="1" applyFont="1">
      <alignment horizontal="left" readingOrder="0" shrinkToFit="0" vertical="center" wrapText="0"/>
    </xf>
    <xf borderId="61" fillId="0" fontId="3" numFmtId="0" xfId="0" applyBorder="1" applyFont="1"/>
    <xf borderId="60" fillId="0" fontId="6" numFmtId="0" xfId="0" applyAlignment="1" applyBorder="1" applyFont="1">
      <alignment horizontal="center" readingOrder="0" shrinkToFit="0" vertical="center" wrapText="0"/>
    </xf>
    <xf borderId="60" fillId="0" fontId="6" numFmtId="0" xfId="0" applyAlignment="1" applyBorder="1" applyFont="1">
      <alignment horizontal="center" shrinkToFit="0" vertical="center" wrapText="0"/>
    </xf>
    <xf borderId="31" fillId="10" fontId="43" numFmtId="0" xfId="0" applyAlignment="1" applyBorder="1" applyFont="1">
      <alignment horizontal="center" readingOrder="0" shrinkToFit="0" vertical="center" wrapText="1"/>
    </xf>
    <xf borderId="31" fillId="0" fontId="20" numFmtId="0" xfId="0" applyAlignment="1" applyBorder="1" applyFont="1">
      <alignment horizontal="center" readingOrder="0" shrinkToFit="0" vertical="center" wrapText="0"/>
    </xf>
    <xf borderId="60" fillId="11" fontId="43" numFmtId="0" xfId="0" applyAlignment="1" applyBorder="1" applyFill="1" applyFont="1">
      <alignment horizontal="left" readingOrder="0" shrinkToFit="0" vertical="center" wrapText="0"/>
    </xf>
    <xf borderId="60" fillId="11" fontId="6" numFmtId="0" xfId="0" applyAlignment="1" applyBorder="1" applyFont="1">
      <alignment horizontal="center" readingOrder="0" shrinkToFit="0" vertical="center" wrapText="0"/>
    </xf>
    <xf borderId="60" fillId="11" fontId="6" numFmtId="0" xfId="0" applyAlignment="1" applyBorder="1" applyFont="1">
      <alignment horizontal="center" shrinkToFit="0" vertical="center" wrapText="0"/>
    </xf>
    <xf borderId="0" fillId="2" fontId="44" numFmtId="0" xfId="0" applyAlignment="1" applyFont="1">
      <alignment horizontal="center" readingOrder="0" shrinkToFit="0" vertical="center" wrapText="0"/>
    </xf>
    <xf borderId="62" fillId="0" fontId="3" numFmtId="0" xfId="0" applyBorder="1" applyFont="1"/>
    <xf borderId="0" fillId="2" fontId="45" numFmtId="0" xfId="0" applyAlignment="1" applyFont="1">
      <alignment horizontal="center" readingOrder="0" shrinkToFit="0" vertical="center" wrapText="0"/>
    </xf>
    <xf borderId="0" fillId="2" fontId="41" numFmtId="0" xfId="0" applyAlignment="1" applyFont="1">
      <alignment horizontal="center" shrinkToFit="0" vertical="center" wrapText="1"/>
    </xf>
    <xf borderId="63" fillId="10" fontId="20" numFmtId="0" xfId="0" applyAlignment="1" applyBorder="1" applyFont="1">
      <alignment horizontal="center" readingOrder="0" shrinkToFit="0" vertical="center" wrapText="0"/>
    </xf>
    <xf borderId="64" fillId="0" fontId="3" numFmtId="0" xfId="0" applyBorder="1" applyFont="1"/>
    <xf borderId="60" fillId="5" fontId="20" numFmtId="0" xfId="0" applyAlignment="1" applyBorder="1" applyFont="1">
      <alignment horizontal="center" readingOrder="0" shrinkToFit="0" vertical="center" wrapText="0"/>
    </xf>
    <xf borderId="65" fillId="0" fontId="3" numFmtId="0" xfId="0" applyBorder="1" applyFont="1"/>
    <xf borderId="33" fillId="10" fontId="20" numFmtId="0" xfId="0" applyAlignment="1" applyBorder="1" applyFont="1">
      <alignment horizontal="center" readingOrder="0" shrinkToFit="0" vertical="center" wrapText="0"/>
    </xf>
    <xf borderId="31" fillId="10" fontId="20" numFmtId="0" xfId="0" applyAlignment="1" applyBorder="1" applyFont="1">
      <alignment horizontal="center" readingOrder="0" shrinkToFit="0" vertical="center" wrapText="1"/>
    </xf>
    <xf borderId="55" fillId="0" fontId="38" numFmtId="0" xfId="0" applyAlignment="1" applyBorder="1" applyFont="1">
      <alignment horizontal="center" readingOrder="0" shrinkToFit="0" vertical="center" wrapText="1"/>
    </xf>
    <xf borderId="66" fillId="10" fontId="43" numFmtId="0" xfId="0" applyAlignment="1" applyBorder="1" applyFont="1">
      <alignment horizontal="center" readingOrder="0" shrinkToFit="0" vertical="center" wrapText="0"/>
    </xf>
    <xf borderId="66" fillId="0" fontId="6" numFmtId="165" xfId="0" applyAlignment="1" applyBorder="1" applyFont="1" applyNumberFormat="1">
      <alignment horizontal="center" readingOrder="0" shrinkToFit="0" vertical="center" wrapText="0"/>
    </xf>
    <xf borderId="13" fillId="10" fontId="20" numFmtId="0" xfId="0" applyAlignment="1" applyBorder="1" applyFont="1">
      <alignment horizontal="center" readingOrder="0" shrinkToFit="0" vertical="center" wrapText="0"/>
    </xf>
    <xf borderId="60" fillId="10" fontId="20" numFmtId="0" xfId="0" applyAlignment="1" applyBorder="1" applyFont="1">
      <alignment horizontal="center" readingOrder="0" shrinkToFit="0" vertical="center" wrapText="0"/>
    </xf>
    <xf borderId="67" fillId="10" fontId="20" numFmtId="0" xfId="0" applyAlignment="1" applyBorder="1" applyFont="1">
      <alignment horizontal="center" readingOrder="0" shrinkToFit="0" textRotation="90" vertical="center" wrapText="1"/>
    </xf>
    <xf borderId="66" fillId="10" fontId="20" numFmtId="0" xfId="0" applyAlignment="1" applyBorder="1" applyFont="1">
      <alignment horizontal="center" readingOrder="0" shrinkToFit="0" vertical="center" wrapText="0"/>
    </xf>
    <xf borderId="66" fillId="12" fontId="43" numFmtId="0" xfId="0" applyAlignment="1" applyBorder="1" applyFill="1" applyFont="1">
      <alignment horizontal="center" readingOrder="0" shrinkToFit="0" vertical="center" wrapText="0"/>
    </xf>
    <xf borderId="68" fillId="0" fontId="3" numFmtId="0" xfId="0" applyBorder="1" applyFont="1"/>
    <xf borderId="0" fillId="0" fontId="43" numFmtId="0" xfId="0" applyAlignment="1" applyFont="1">
      <alignment horizontal="center" readingOrder="0" shrinkToFit="0" vertical="center" wrapText="0"/>
    </xf>
    <xf borderId="67" fillId="0" fontId="46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67" fillId="0" fontId="23" numFmtId="0" xfId="0" applyAlignment="1" applyBorder="1" applyFont="1">
      <alignment horizontal="center" readingOrder="0" shrinkToFit="0" vertical="center" wrapText="0"/>
    </xf>
    <xf borderId="53" fillId="0" fontId="23" numFmtId="0" xfId="0" applyAlignment="1" applyBorder="1" applyFont="1">
      <alignment horizontal="center" readingOrder="0" shrinkToFit="0" vertical="center" wrapText="0"/>
    </xf>
    <xf borderId="54" fillId="0" fontId="23" numFmtId="0" xfId="0" applyAlignment="1" applyBorder="1" applyFont="1">
      <alignment horizontal="center" readingOrder="0" shrinkToFit="0" vertical="center" wrapText="0"/>
    </xf>
    <xf borderId="53" fillId="0" fontId="23" numFmtId="0" xfId="0" applyAlignment="1" applyBorder="1" applyFont="1">
      <alignment horizontal="center" shrinkToFit="0" vertical="center" wrapText="0"/>
    </xf>
    <xf borderId="67" fillId="0" fontId="23" numFmtId="0" xfId="0" applyAlignment="1" applyBorder="1" applyFont="1">
      <alignment horizontal="center" shrinkToFit="0" vertical="center" wrapText="0"/>
    </xf>
    <xf borderId="54" fillId="0" fontId="23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69" fillId="0" fontId="14" numFmtId="0" xfId="0" applyAlignment="1" applyBorder="1" applyFont="1">
      <alignment horizontal="center" readingOrder="0" shrinkToFit="0" vertical="center" wrapText="0"/>
    </xf>
    <xf borderId="0" fillId="13" fontId="43" numFmtId="0" xfId="0" applyAlignment="1" applyFill="1" applyFont="1">
      <alignment horizontal="center" readingOrder="0" shrinkToFit="0" vertical="center" wrapText="1"/>
    </xf>
    <xf borderId="0" fillId="14" fontId="43" numFmtId="0" xfId="0" applyAlignment="1" applyFill="1" applyFont="1">
      <alignment horizontal="center" readingOrder="0" shrinkToFit="0" vertical="center" wrapText="1"/>
    </xf>
    <xf borderId="0" fillId="15" fontId="43" numFmtId="0" xfId="0" applyAlignment="1" applyFill="1" applyFont="1">
      <alignment horizontal="center" readingOrder="0" shrinkToFit="0" vertical="center" wrapText="1"/>
    </xf>
    <xf borderId="0" fillId="16" fontId="43" numFmtId="0" xfId="0" applyAlignment="1" applyFill="1" applyFont="1">
      <alignment horizontal="center" readingOrder="0" shrinkToFit="0" vertical="center" wrapText="1"/>
    </xf>
    <xf borderId="0" fillId="17" fontId="43" numFmtId="0" xfId="0" applyAlignment="1" applyFill="1" applyFont="1">
      <alignment horizontal="center" readingOrder="0" shrinkToFit="0" vertical="center" wrapText="1"/>
    </xf>
    <xf borderId="0" fillId="18" fontId="43" numFmtId="0" xfId="0" applyAlignment="1" applyFill="1" applyFont="1">
      <alignment horizontal="center" readingOrder="0" shrinkToFit="0" vertical="center" wrapText="1"/>
    </xf>
    <xf borderId="0" fillId="19" fontId="43" numFmtId="0" xfId="0" applyAlignment="1" applyFill="1" applyFont="1">
      <alignment horizontal="center" readingOrder="0" shrinkToFit="0" vertical="center" wrapText="1"/>
    </xf>
    <xf borderId="0" fillId="20" fontId="43" numFmtId="0" xfId="0" applyAlignment="1" applyFill="1" applyFont="1">
      <alignment horizontal="center" readingOrder="0" shrinkToFit="0" vertical="center" wrapText="1"/>
    </xf>
    <xf borderId="0" fillId="21" fontId="43" numFmtId="0" xfId="0" applyAlignment="1" applyFill="1" applyFont="1">
      <alignment horizontal="center" readingOrder="0" shrinkToFit="0" vertical="center" wrapText="1"/>
    </xf>
    <xf borderId="0" fillId="22" fontId="43" numFmtId="0" xfId="0" applyAlignment="1" applyFill="1" applyFont="1">
      <alignment horizontal="center" readingOrder="0" shrinkToFit="0" vertical="center" wrapText="1"/>
    </xf>
    <xf borderId="0" fillId="11" fontId="43" numFmtId="0" xfId="0" applyAlignment="1" applyFont="1">
      <alignment horizontal="center" readingOrder="0" shrinkToFit="0" vertical="center" wrapText="0"/>
    </xf>
    <xf borderId="68" fillId="11" fontId="23" numFmtId="0" xfId="0" applyAlignment="1" applyBorder="1" applyFont="1">
      <alignment horizontal="left" readingOrder="0" shrinkToFit="0" vertical="center" wrapText="0"/>
    </xf>
    <xf borderId="0" fillId="11" fontId="23" numFmtId="0" xfId="0" applyAlignment="1" applyFont="1">
      <alignment horizontal="center" readingOrder="0" shrinkToFit="0" vertical="center" wrapText="0"/>
    </xf>
    <xf borderId="68" fillId="11" fontId="23" numFmtId="0" xfId="0" applyAlignment="1" applyBorder="1" applyFont="1">
      <alignment horizontal="center" readingOrder="0" shrinkToFit="0" vertical="center" wrapText="0"/>
    </xf>
    <xf borderId="11" fillId="11" fontId="23" numFmtId="0" xfId="0" applyAlignment="1" applyBorder="1" applyFont="1">
      <alignment horizontal="center" readingOrder="0" shrinkToFit="0" vertical="center" wrapText="0"/>
    </xf>
    <xf borderId="12" fillId="11" fontId="23" numFmtId="0" xfId="0" applyAlignment="1" applyBorder="1" applyFont="1">
      <alignment horizontal="center" readingOrder="0" shrinkToFit="0" vertical="center" wrapText="0"/>
    </xf>
    <xf borderId="0" fillId="11" fontId="23" numFmtId="0" xfId="0" applyAlignment="1" applyFont="1">
      <alignment horizontal="center" shrinkToFit="0" vertical="center" wrapText="0"/>
    </xf>
    <xf borderId="11" fillId="11" fontId="23" numFmtId="0" xfId="0" applyAlignment="1" applyBorder="1" applyFont="1">
      <alignment horizontal="center" shrinkToFit="0" vertical="center" wrapText="0"/>
    </xf>
    <xf borderId="68" fillId="11" fontId="23" numFmtId="0" xfId="0" applyAlignment="1" applyBorder="1" applyFont="1">
      <alignment horizontal="center" shrinkToFit="0" vertical="center" wrapText="0"/>
    </xf>
    <xf borderId="12" fillId="11" fontId="23" numFmtId="0" xfId="0" applyAlignment="1" applyBorder="1" applyFont="1">
      <alignment horizontal="center" shrinkToFit="0" vertical="center" wrapText="0"/>
    </xf>
    <xf borderId="31" fillId="11" fontId="20" numFmtId="0" xfId="0" applyAlignment="1" applyBorder="1" applyFont="1">
      <alignment horizontal="center" readingOrder="0" shrinkToFit="0" vertical="center" wrapText="1"/>
    </xf>
    <xf borderId="68" fillId="0" fontId="23" numFmtId="0" xfId="0" applyAlignment="1" applyBorder="1" applyFont="1">
      <alignment horizontal="left" readingOrder="0" shrinkToFit="0" vertical="center" wrapText="0"/>
    </xf>
    <xf borderId="68" fillId="0" fontId="23" numFmtId="0" xfId="0" applyAlignment="1" applyBorder="1" applyFont="1">
      <alignment horizontal="center" readingOrder="0" shrinkToFit="0" vertical="center" wrapText="0"/>
    </xf>
    <xf borderId="11" fillId="0" fontId="23" numFmtId="0" xfId="0" applyAlignment="1" applyBorder="1" applyFont="1">
      <alignment horizontal="center" readingOrder="0" shrinkToFit="0" vertical="center" wrapText="0"/>
    </xf>
    <xf borderId="12" fillId="0" fontId="23" numFmtId="0" xfId="0" applyAlignment="1" applyBorder="1" applyFont="1">
      <alignment horizontal="center" shrinkToFit="0" vertical="center" wrapText="0"/>
    </xf>
    <xf borderId="11" fillId="0" fontId="23" numFmtId="0" xfId="0" applyAlignment="1" applyBorder="1" applyFont="1">
      <alignment horizontal="center" shrinkToFit="0" vertical="center" wrapText="0"/>
    </xf>
    <xf borderId="68" fillId="0" fontId="23" numFmtId="0" xfId="0" applyAlignment="1" applyBorder="1" applyFont="1">
      <alignment horizontal="center" shrinkToFit="0" vertical="center" wrapText="0"/>
    </xf>
    <xf borderId="13" fillId="22" fontId="43" numFmtId="0" xfId="0" applyAlignment="1" applyBorder="1" applyFont="1">
      <alignment horizontal="center" readingOrder="0" shrinkToFit="0" vertical="center" wrapText="1"/>
    </xf>
    <xf borderId="8" fillId="21" fontId="43" numFmtId="0" xfId="0" applyAlignment="1" applyBorder="1" applyFont="1">
      <alignment horizontal="center" readingOrder="0" shrinkToFit="0" vertical="center" wrapText="1"/>
    </xf>
    <xf borderId="8" fillId="20" fontId="43" numFmtId="0" xfId="0" applyAlignment="1" applyBorder="1" applyFont="1">
      <alignment horizontal="center" readingOrder="0" shrinkToFit="0" vertical="center" wrapText="1"/>
    </xf>
    <xf borderId="8" fillId="19" fontId="43" numFmtId="0" xfId="0" applyAlignment="1" applyBorder="1" applyFont="1">
      <alignment horizontal="center" readingOrder="0" shrinkToFit="0" vertical="center" wrapText="1"/>
    </xf>
    <xf borderId="8" fillId="18" fontId="43" numFmtId="0" xfId="0" applyAlignment="1" applyBorder="1" applyFont="1">
      <alignment horizontal="center" readingOrder="0" shrinkToFit="0" vertical="center" wrapText="1"/>
    </xf>
    <xf borderId="8" fillId="17" fontId="43" numFmtId="0" xfId="0" applyAlignment="1" applyBorder="1" applyFont="1">
      <alignment horizontal="center" readingOrder="0" shrinkToFit="0" vertical="center" wrapText="1"/>
    </xf>
    <xf borderId="65" fillId="16" fontId="43" numFmtId="0" xfId="0" applyAlignment="1" applyBorder="1" applyFont="1">
      <alignment horizontal="center" readingOrder="0" shrinkToFit="0" vertical="center" wrapText="1"/>
    </xf>
    <xf borderId="65" fillId="15" fontId="43" numFmtId="0" xfId="0" applyAlignment="1" applyBorder="1" applyFont="1">
      <alignment horizontal="center" readingOrder="0" shrinkToFit="0" vertical="center" wrapText="1"/>
    </xf>
    <xf borderId="65" fillId="14" fontId="43" numFmtId="0" xfId="0" applyAlignment="1" applyBorder="1" applyFont="1">
      <alignment horizontal="center" readingOrder="0" shrinkToFit="0" vertical="center" wrapText="1"/>
    </xf>
    <xf borderId="61" fillId="13" fontId="43" numFmtId="0" xfId="0" applyAlignment="1" applyBorder="1" applyFont="1">
      <alignment horizontal="center" readingOrder="0" shrinkToFit="0" vertical="center" wrapText="1"/>
    </xf>
    <xf borderId="31" fillId="23" fontId="20" numFmtId="0" xfId="0" applyAlignment="1" applyBorder="1" applyFill="1" applyFont="1">
      <alignment horizontal="center" readingOrder="0" shrinkToFit="0" vertical="center" wrapText="1"/>
    </xf>
    <xf borderId="68" fillId="11" fontId="23" numFmtId="0" xfId="0" applyAlignment="1" applyBorder="1" applyFont="1">
      <alignment horizontal="left" shrinkToFit="0" vertical="center" wrapText="0"/>
    </xf>
    <xf borderId="53" fillId="0" fontId="7" numFmtId="0" xfId="0" applyAlignment="1" applyBorder="1" applyFont="1">
      <alignment horizontal="center" readingOrder="0" shrinkToFit="0" vertical="center" wrapText="1"/>
    </xf>
    <xf borderId="68" fillId="0" fontId="23" numFmtId="0" xfId="0" applyAlignment="1" applyBorder="1" applyFont="1">
      <alignment horizontal="left" shrinkToFit="0" vertical="center" wrapText="0"/>
    </xf>
    <xf borderId="70" fillId="0" fontId="3" numFmtId="0" xfId="0" applyBorder="1" applyFont="1"/>
    <xf borderId="8" fillId="0" fontId="43" numFmtId="0" xfId="0" applyAlignment="1" applyBorder="1" applyFont="1">
      <alignment horizontal="center" readingOrder="0" shrinkToFit="0" vertical="center" wrapText="0"/>
    </xf>
    <xf borderId="70" fillId="0" fontId="23" numFmtId="0" xfId="0" applyAlignment="1" applyBorder="1" applyFont="1">
      <alignment horizontal="left" shrinkToFit="0" vertical="center" wrapText="0"/>
    </xf>
    <xf borderId="8" fillId="0" fontId="23" numFmtId="0" xfId="0" applyAlignment="1" applyBorder="1" applyFont="1">
      <alignment horizontal="center" shrinkToFit="0" vertical="center" wrapText="0"/>
    </xf>
    <xf borderId="70" fillId="0" fontId="23" numFmtId="0" xfId="0" applyAlignment="1" applyBorder="1" applyFont="1">
      <alignment horizontal="center" shrinkToFit="0" vertical="center" wrapText="0"/>
    </xf>
    <xf borderId="13" fillId="0" fontId="23" numFmtId="0" xfId="0" applyAlignment="1" applyBorder="1" applyFont="1">
      <alignment horizontal="center" shrinkToFit="0" vertical="center" wrapText="0"/>
    </xf>
    <xf borderId="14" fillId="0" fontId="23" numFmtId="0" xfId="0" applyAlignment="1" applyBorder="1" applyFont="1">
      <alignment horizontal="center" shrinkToFit="0" vertical="center" wrapText="0"/>
    </xf>
    <xf borderId="0" fillId="2" fontId="41" numFmtId="0" xfId="0" applyAlignment="1" applyFont="1">
      <alignment horizontal="center" shrinkToFit="0" textRotation="90" vertical="center" wrapText="1"/>
    </xf>
    <xf borderId="67" fillId="0" fontId="23" numFmtId="0" xfId="0" applyAlignment="1" applyBorder="1" applyFont="1">
      <alignment horizontal="left" readingOrder="0" shrinkToFit="0" vertical="center" wrapText="0"/>
    </xf>
    <xf borderId="53" fillId="0" fontId="7" numFmtId="0" xfId="0" applyAlignment="1" applyBorder="1" applyFont="1">
      <alignment horizontal="center" shrinkToFit="0" vertical="center" wrapText="1"/>
    </xf>
    <xf borderId="0" fillId="2" fontId="45" numFmtId="0" xfId="0" applyAlignment="1" applyFont="1">
      <alignment horizontal="center" readingOrder="0" shrinkToFit="0" vertical="center" wrapText="1"/>
    </xf>
    <xf borderId="66" fillId="0" fontId="6" numFmtId="166" xfId="0" applyAlignment="1" applyBorder="1" applyFont="1" applyNumberFormat="1">
      <alignment horizontal="center" readingOrder="0" shrinkToFit="0" vertical="center" wrapText="0"/>
    </xf>
    <xf borderId="67" fillId="0" fontId="23" numFmtId="0" xfId="0" applyAlignment="1" applyBorder="1" applyFont="1">
      <alignment horizontal="left" readingOrder="0" shrinkToFit="0" vertical="center" wrapText="0"/>
    </xf>
    <xf borderId="0" fillId="0" fontId="47" numFmtId="0" xfId="0" applyAlignment="1" applyFont="1">
      <alignment horizontal="center" readingOrder="0" shrinkToFit="0" vertical="center" wrapText="0"/>
    </xf>
    <xf borderId="67" fillId="0" fontId="47" numFmtId="0" xfId="0" applyAlignment="1" applyBorder="1" applyFont="1">
      <alignment horizontal="center" readingOrder="0" shrinkToFit="0" vertical="center" wrapText="0"/>
    </xf>
    <xf borderId="53" fillId="0" fontId="47" numFmtId="0" xfId="0" applyAlignment="1" applyBorder="1" applyFont="1">
      <alignment horizontal="center" readingOrder="0" shrinkToFit="0" vertical="center" wrapText="0"/>
    </xf>
    <xf borderId="68" fillId="11" fontId="23" numFmtId="0" xfId="0" applyAlignment="1" applyBorder="1" applyFont="1">
      <alignment horizontal="left" readingOrder="0" shrinkToFit="0" vertical="center" wrapText="0"/>
    </xf>
    <xf borderId="0" fillId="11" fontId="47" numFmtId="0" xfId="0" applyAlignment="1" applyFont="1">
      <alignment horizontal="center" readingOrder="0" shrinkToFit="0" vertical="center" wrapText="0"/>
    </xf>
    <xf borderId="68" fillId="11" fontId="47" numFmtId="0" xfId="0" applyAlignment="1" applyBorder="1" applyFont="1">
      <alignment horizontal="center" readingOrder="0" shrinkToFit="0" vertical="center" wrapText="0"/>
    </xf>
    <xf borderId="0" fillId="11" fontId="47" numFmtId="0" xfId="0" applyAlignment="1" applyFont="1">
      <alignment horizontal="center" shrinkToFit="0" vertical="center" wrapText="0"/>
    </xf>
    <xf borderId="11" fillId="11" fontId="47" numFmtId="0" xfId="0" applyAlignment="1" applyBorder="1" applyFont="1">
      <alignment horizontal="center" readingOrder="0" shrinkToFit="0" vertical="center" wrapText="0"/>
    </xf>
    <xf borderId="68" fillId="0" fontId="23" numFmtId="0" xfId="0" applyAlignment="1" applyBorder="1" applyFont="1">
      <alignment horizontal="left" readingOrder="0" shrinkToFit="0" vertical="center" wrapText="0"/>
    </xf>
    <xf borderId="68" fillId="0" fontId="47" numFmtId="0" xfId="0" applyAlignment="1" applyBorder="1" applyFont="1">
      <alignment horizontal="center" readingOrder="0" shrinkToFit="0" vertical="center" wrapText="0"/>
    </xf>
    <xf borderId="0" fillId="0" fontId="47" numFmtId="0" xfId="0" applyAlignment="1" applyFont="1">
      <alignment horizontal="center" shrinkToFit="0" vertical="center" wrapText="0"/>
    </xf>
    <xf borderId="11" fillId="0" fontId="47" numFmtId="0" xfId="0" applyAlignment="1" applyBorder="1" applyFont="1">
      <alignment horizontal="center" readingOrder="0" shrinkToFit="0" vertical="center" wrapText="0"/>
    </xf>
    <xf borderId="67" fillId="0" fontId="48" numFmtId="0" xfId="0" applyAlignment="1" applyBorder="1" applyFont="1">
      <alignment horizontal="left" readingOrder="0" shrinkToFit="0" vertical="center" wrapText="0"/>
    </xf>
    <xf borderId="68" fillId="11" fontId="48" numFmtId="0" xfId="0" applyAlignment="1" applyBorder="1" applyFont="1">
      <alignment horizontal="left" readingOrder="0" shrinkToFit="0" vertical="center" wrapText="0"/>
    </xf>
    <xf borderId="68" fillId="0" fontId="48" numFmtId="0" xfId="0" applyAlignment="1" applyBorder="1" applyFont="1">
      <alignment horizontal="left" readingOrder="0" shrinkToFit="0" vertical="center" wrapText="0"/>
    </xf>
    <xf borderId="68" fillId="11" fontId="16" numFmtId="0" xfId="0" applyAlignment="1" applyBorder="1" applyFont="1">
      <alignment horizontal="left" readingOrder="0" shrinkToFit="0" vertical="center" wrapText="0"/>
    </xf>
    <xf borderId="68" fillId="11" fontId="47" numFmtId="0" xfId="0" applyAlignment="1" applyBorder="1" applyFont="1">
      <alignment horizontal="center" shrinkToFit="0" vertical="center" wrapText="0"/>
    </xf>
    <xf borderId="67" fillId="0" fontId="49" numFmtId="0" xfId="0" applyAlignment="1" applyBorder="1" applyFont="1">
      <alignment horizontal="left" readingOrder="0" shrinkToFit="0" vertical="center" wrapText="0"/>
    </xf>
    <xf borderId="0" fillId="0" fontId="23" numFmtId="167" xfId="0" applyAlignment="1" applyFont="1" applyNumberFormat="1">
      <alignment horizontal="center" readingOrder="0" shrinkToFit="0" vertical="center" wrapText="0"/>
    </xf>
    <xf borderId="69" fillId="0" fontId="14" numFmtId="167" xfId="0" applyAlignment="1" applyBorder="1" applyFont="1" applyNumberFormat="1">
      <alignment horizontal="center" readingOrder="0" shrinkToFit="0" vertical="center" wrapText="0"/>
    </xf>
    <xf borderId="68" fillId="11" fontId="49" numFmtId="0" xfId="0" applyAlignment="1" applyBorder="1" applyFont="1">
      <alignment horizontal="left" readingOrder="0" shrinkToFit="0" vertical="center" wrapText="0"/>
    </xf>
    <xf borderId="68" fillId="0" fontId="49" numFmtId="0" xfId="0" applyAlignment="1" applyBorder="1" applyFont="1">
      <alignment horizontal="left" readingOrder="0" shrinkToFit="0" vertical="center" wrapText="0"/>
    </xf>
    <xf borderId="68" fillId="11" fontId="50" numFmtId="0" xfId="0" applyAlignment="1" applyBorder="1" applyFont="1">
      <alignment horizontal="left" readingOrder="0" shrinkToFit="0" vertical="center" wrapText="0"/>
    </xf>
    <xf borderId="0" fillId="11" fontId="23" numFmtId="167" xfId="0" applyAlignment="1" applyFont="1" applyNumberFormat="1">
      <alignment horizontal="center" readingOrder="0" shrinkToFit="0" vertical="center" wrapText="0"/>
    </xf>
    <xf borderId="67" fillId="0" fontId="51" numFmtId="0" xfId="0" applyAlignment="1" applyBorder="1" applyFont="1">
      <alignment horizontal="left" readingOrder="0" shrinkToFit="0" vertical="center" wrapText="0"/>
    </xf>
    <xf borderId="68" fillId="11" fontId="52" numFmtId="0" xfId="0" applyAlignment="1" applyBorder="1" applyFont="1">
      <alignment horizontal="left" readingOrder="0" shrinkToFit="0" vertical="center" wrapText="0"/>
    </xf>
    <xf borderId="68" fillId="0" fontId="52" numFmtId="0" xfId="0" applyAlignment="1" applyBorder="1" applyFont="1">
      <alignment horizontal="left" readingOrder="0" shrinkToFit="0" vertical="center" wrapText="0"/>
    </xf>
    <xf borderId="68" fillId="11" fontId="51" numFmtId="0" xfId="0" applyAlignment="1" applyBorder="1" applyFont="1">
      <alignment horizontal="left" readingOrder="0" shrinkToFit="0" vertical="center" wrapText="0"/>
    </xf>
    <xf borderId="0" fillId="2" fontId="41" numFmtId="0" xfId="0" applyAlignment="1" applyFont="1">
      <alignment horizontal="left" vertical="bottom"/>
    </xf>
    <xf borderId="66" fillId="0" fontId="6" numFmtId="0" xfId="0" applyAlignment="1" applyBorder="1" applyFont="1">
      <alignment horizontal="center" readingOrder="0" shrinkToFit="0" vertical="center" wrapText="0"/>
    </xf>
    <xf borderId="68" fillId="0" fontId="53" numFmtId="0" xfId="0" applyAlignment="1" applyBorder="1" applyFont="1">
      <alignment horizontal="left" readingOrder="0" shrinkToFit="0" vertical="center" wrapText="0"/>
    </xf>
    <xf borderId="66" fillId="0" fontId="6" numFmtId="168" xfId="0" applyAlignment="1" applyBorder="1" applyFont="1" applyNumberFormat="1">
      <alignment horizontal="center" readingOrder="0" shrinkToFit="0" vertical="center" wrapText="0"/>
    </xf>
    <xf borderId="67" fillId="10" fontId="20" numFmtId="0" xfId="0" applyAlignment="1" applyBorder="1" applyFont="1">
      <alignment horizontal="center" readingOrder="0" shrinkToFit="0" vertical="center" wrapText="0"/>
    </xf>
    <xf borderId="67" fillId="0" fontId="54" numFmtId="0" xfId="0" applyAlignment="1" applyBorder="1" applyFont="1">
      <alignment horizontal="left" readingOrder="0" shrinkToFit="0" vertical="center" wrapText="0"/>
    </xf>
    <xf borderId="68" fillId="11" fontId="54" numFmtId="0" xfId="0" applyAlignment="1" applyBorder="1" applyFont="1">
      <alignment horizontal="left" readingOrder="0" shrinkToFit="0" vertical="center" wrapText="0"/>
    </xf>
    <xf borderId="68" fillId="0" fontId="54" numFmtId="0" xfId="0" applyAlignment="1" applyBorder="1" applyFont="1">
      <alignment horizontal="left" readingOrder="0" shrinkToFit="0" vertical="center" wrapText="0"/>
    </xf>
    <xf borderId="68" fillId="0" fontId="47" numFmtId="0" xfId="0" applyAlignment="1" applyBorder="1" applyFont="1">
      <alignment horizontal="center" shrinkToFit="0" vertical="center" wrapText="0"/>
    </xf>
    <xf borderId="0" fillId="11" fontId="47" numFmtId="164" xfId="0" applyAlignment="1" applyFont="1" applyNumberFormat="1">
      <alignment horizontal="center" shrinkToFit="0" vertical="center" wrapText="0"/>
    </xf>
    <xf borderId="11" fillId="11" fontId="47" numFmtId="164" xfId="0" applyAlignment="1" applyBorder="1" applyFont="1" applyNumberFormat="1">
      <alignment horizontal="center" shrinkToFit="0" vertical="center" wrapText="0"/>
    </xf>
    <xf borderId="54" fillId="0" fontId="23" numFmtId="0" xfId="0" applyAlignment="1" applyBorder="1" applyFont="1">
      <alignment horizontal="center" vertical="center"/>
    </xf>
    <xf borderId="54" fillId="0" fontId="1" numFmtId="0" xfId="0" applyAlignment="1" applyBorder="1" applyFont="1">
      <alignment vertical="center"/>
    </xf>
    <xf borderId="12" fillId="11" fontId="23" numFmtId="0" xfId="0" applyAlignment="1" applyBorder="1" applyFont="1">
      <alignment horizontal="center" vertical="center"/>
    </xf>
    <xf borderId="12" fillId="11" fontId="1" numFmtId="0" xfId="0" applyAlignment="1" applyBorder="1" applyFont="1">
      <alignment vertical="center"/>
    </xf>
    <xf borderId="12" fillId="0" fontId="23" numFmtId="0" xfId="0" applyAlignment="1" applyBorder="1" applyFont="1">
      <alignment horizontal="center" vertical="center"/>
    </xf>
    <xf borderId="12" fillId="0" fontId="1" numFmtId="0" xfId="0" applyAlignment="1" applyBorder="1" applyFont="1">
      <alignment vertical="center"/>
    </xf>
    <xf borderId="12" fillId="11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0" fillId="24" fontId="43" numFmtId="0" xfId="0" applyAlignment="1" applyFill="1" applyFont="1">
      <alignment horizontal="center" readingOrder="0" shrinkToFit="0" vertical="center" wrapText="0"/>
    </xf>
    <xf borderId="66" fillId="5" fontId="41" numFmtId="0" xfId="0" applyAlignment="1" applyBorder="1" applyFont="1">
      <alignment horizontal="center" shrinkToFit="0" vertical="center" wrapText="0"/>
    </xf>
    <xf borderId="0" fillId="11" fontId="28" numFmtId="0" xfId="0" applyAlignment="1" applyFont="1">
      <alignment horizontal="center" readingOrder="0" shrinkToFit="0" vertical="center" wrapText="1"/>
    </xf>
    <xf borderId="0" fillId="11" fontId="28" numFmtId="164" xfId="0" applyAlignment="1" applyFont="1" applyNumberFormat="1">
      <alignment horizontal="center" readingOrder="0" shrinkToFit="0" vertical="center" wrapText="1"/>
    </xf>
    <xf borderId="69" fillId="0" fontId="14" numFmtId="164" xfId="0" applyAlignment="1" applyBorder="1" applyFont="1" applyNumberFormat="1">
      <alignment horizontal="center" readingOrder="0" shrinkToFit="0" vertical="center" wrapText="0"/>
    </xf>
    <xf borderId="56" fillId="0" fontId="14" numFmtId="0" xfId="0" applyAlignment="1" applyBorder="1" applyFont="1">
      <alignment horizontal="center" readingOrder="0" shrinkToFit="0" vertical="center" wrapText="0"/>
    </xf>
    <xf borderId="12" fillId="11" fontId="23" numFmtId="0" xfId="0" applyAlignment="1" applyBorder="1" applyFont="1">
      <alignment horizontal="center" readingOrder="0" vertical="center"/>
    </xf>
    <xf borderId="12" fillId="0" fontId="23" numFmtId="0" xfId="0" applyAlignment="1" applyBorder="1" applyFont="1">
      <alignment horizontal="center" readingOrder="0" vertical="center"/>
    </xf>
    <xf borderId="47" fillId="11" fontId="23" numFmtId="0" xfId="0" applyAlignment="1" applyBorder="1" applyFont="1">
      <alignment horizontal="center" shrinkToFit="0" vertical="center" wrapText="1"/>
    </xf>
    <xf borderId="47" fillId="11" fontId="23" numFmtId="0" xfId="0" applyAlignment="1" applyBorder="1" applyFont="1">
      <alignment horizontal="center" readingOrder="0" shrinkToFit="0" vertical="center" wrapText="1"/>
    </xf>
    <xf borderId="47" fillId="11" fontId="1" numFmtId="0" xfId="0" applyAlignment="1" applyBorder="1" applyFont="1">
      <alignment vertical="center"/>
    </xf>
    <xf borderId="12" fillId="0" fontId="28" numFmtId="164" xfId="0" applyAlignment="1" applyBorder="1" applyFont="1" applyNumberFormat="1">
      <alignment horizontal="center" shrinkToFit="0" vertical="center" wrapText="1"/>
    </xf>
    <xf borderId="56" fillId="0" fontId="14" numFmtId="164" xfId="0" applyAlignment="1" applyBorder="1" applyFont="1" applyNumberFormat="1">
      <alignment horizontal="center" readingOrder="0" shrinkToFit="0" vertical="center" wrapText="0"/>
    </xf>
    <xf borderId="12" fillId="11" fontId="28" numFmtId="164" xfId="0" applyAlignment="1" applyBorder="1" applyFont="1" applyNumberFormat="1">
      <alignment horizontal="center" shrinkToFit="0" vertical="center" wrapText="1"/>
    </xf>
    <xf borderId="12" fillId="11" fontId="28" numFmtId="0" xfId="0" applyAlignment="1" applyBorder="1" applyFont="1">
      <alignment horizontal="center" shrinkToFit="0" vertical="center" wrapText="1"/>
    </xf>
    <xf borderId="0" fillId="11" fontId="28" numFmtId="0" xfId="0" applyAlignment="1" applyFont="1">
      <alignment horizontal="center" shrinkToFit="0" vertical="center" wrapText="1"/>
    </xf>
    <xf borderId="12" fillId="0" fontId="28" numFmtId="0" xfId="0" applyAlignment="1" applyBorder="1" applyFont="1">
      <alignment horizontal="center" shrinkToFit="0" vertical="center" wrapText="1"/>
    </xf>
    <xf borderId="55" fillId="0" fontId="23" numFmtId="0" xfId="0" applyAlignment="1" applyBorder="1" applyFont="1">
      <alignment horizontal="center" shrinkToFit="0" vertical="center" wrapText="0"/>
    </xf>
    <xf borderId="11" fillId="11" fontId="13" numFmtId="0" xfId="0" applyAlignment="1" applyBorder="1" applyFont="1">
      <alignment horizontal="center" readingOrder="0" shrinkToFit="0" vertical="center" wrapText="0"/>
    </xf>
    <xf borderId="12" fillId="11" fontId="23" numFmtId="164" xfId="0" applyAlignment="1" applyBorder="1" applyFont="1" applyNumberFormat="1">
      <alignment horizontal="center" readingOrder="0" shrinkToFit="0" vertical="center" wrapText="0"/>
    </xf>
    <xf borderId="12" fillId="0" fontId="23" numFmtId="164" xfId="0" applyAlignment="1" applyBorder="1" applyFont="1" applyNumberFormat="1">
      <alignment horizontal="center" readingOrder="0" shrinkToFit="0" vertical="center" wrapText="0"/>
    </xf>
    <xf borderId="54" fillId="0" fontId="23" numFmtId="0" xfId="0" applyAlignment="1" applyBorder="1" applyFont="1">
      <alignment horizontal="center" readingOrder="0" vertical="center"/>
    </xf>
    <xf borderId="67" fillId="10" fontId="55" numFmtId="0" xfId="0" applyAlignment="1" applyBorder="1" applyFont="1">
      <alignment horizontal="center" readingOrder="0" shrinkToFit="0" textRotation="90" vertical="center" wrapText="1"/>
    </xf>
    <xf borderId="60" fillId="10" fontId="56" numFmtId="0" xfId="0" applyAlignment="1" applyBorder="1" applyFont="1">
      <alignment horizontal="center" readingOrder="0" shrinkToFit="0" vertical="center" wrapText="0"/>
    </xf>
    <xf borderId="66" fillId="10" fontId="57" numFmtId="0" xfId="0" applyAlignment="1" applyBorder="1" applyFont="1">
      <alignment horizontal="center" readingOrder="0" shrinkToFit="0" vertical="center" wrapText="0"/>
    </xf>
    <xf borderId="0" fillId="5" fontId="23" numFmtId="0" xfId="0" applyAlignment="1" applyFont="1">
      <alignment horizontal="center" readingOrder="0" shrinkToFit="0" vertical="center" wrapText="1"/>
    </xf>
    <xf borderId="68" fillId="5" fontId="28" numFmtId="0" xfId="0" applyAlignment="1" applyBorder="1" applyFont="1">
      <alignment horizontal="center" readingOrder="0" shrinkToFit="0" vertical="center" wrapText="1"/>
    </xf>
    <xf borderId="0" fillId="11" fontId="23" numFmtId="0" xfId="0" applyAlignment="1" applyFont="1">
      <alignment horizontal="center" readingOrder="0" shrinkToFit="0" vertical="center" wrapText="1"/>
    </xf>
    <xf borderId="68" fillId="11" fontId="28" numFmtId="164" xfId="0" applyAlignment="1" applyBorder="1" applyFont="1" applyNumberForma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68" fillId="0" fontId="28" numFmtId="164" xfId="0" applyAlignment="1" applyBorder="1" applyFont="1" applyNumberFormat="1">
      <alignment horizontal="center" shrinkToFit="0" vertical="center" wrapText="1"/>
    </xf>
    <xf borderId="0" fillId="11" fontId="23" numFmtId="0" xfId="0" applyAlignment="1" applyFont="1">
      <alignment horizontal="center" shrinkToFit="0" vertical="center" wrapText="1"/>
    </xf>
    <xf borderId="68" fillId="0" fontId="28" numFmtId="0" xfId="0" applyAlignment="1" applyBorder="1" applyFont="1">
      <alignment horizontal="center" readingOrder="0" shrinkToFit="0" vertical="center" wrapText="1"/>
    </xf>
    <xf borderId="68" fillId="11" fontId="28" numFmtId="164" xfId="0" applyAlignment="1" applyBorder="1" applyFont="1" applyNumberFormat="1">
      <alignment horizontal="center" readingOrder="0" shrinkToFit="0" vertical="center" wrapText="1"/>
    </xf>
    <xf borderId="11" fillId="11" fontId="24" numFmtId="0" xfId="0" applyAlignment="1" applyBorder="1" applyFont="1">
      <alignment horizontal="center" readingOrder="0" shrinkToFit="0" vertical="center" wrapText="1"/>
    </xf>
    <xf borderId="67" fillId="10" fontId="58" numFmtId="0" xfId="0" applyAlignment="1" applyBorder="1" applyFont="1">
      <alignment horizontal="center" readingOrder="0" shrinkToFit="0" textRotation="90" vertical="center" wrapText="1"/>
    </xf>
    <xf borderId="67" fillId="10" fontId="59" numFmtId="0" xfId="0" applyAlignment="1" applyBorder="1" applyFont="1">
      <alignment horizontal="center" readingOrder="0" shrinkToFit="0" textRotation="90" vertical="center" wrapText="1"/>
    </xf>
    <xf borderId="67" fillId="10" fontId="60" numFmtId="0" xfId="0" applyAlignment="1" applyBorder="1" applyFont="1">
      <alignment horizontal="center" readingOrder="0" shrinkToFit="0" textRotation="90" vertical="center" wrapText="1"/>
    </xf>
    <xf borderId="0" fillId="11" fontId="28" numFmtId="164" xfId="0" applyAlignment="1" applyFont="1" applyNumberFormat="1">
      <alignment horizontal="center" shrinkToFit="0" vertical="center" wrapText="1"/>
    </xf>
    <xf borderId="12" fillId="11" fontId="24" numFmtId="0" xfId="0" applyAlignment="1" applyBorder="1" applyFont="1">
      <alignment horizontal="center" readingOrder="0" shrinkToFit="0" vertical="center" wrapText="1"/>
    </xf>
    <xf borderId="69" fillId="11" fontId="14" numFmtId="0" xfId="0" applyAlignment="1" applyBorder="1" applyFont="1">
      <alignment horizontal="center" readingOrder="0" shrinkToFit="0" vertical="center" wrapText="0"/>
    </xf>
    <xf borderId="11" fillId="11" fontId="1" numFmtId="0" xfId="0" applyAlignment="1" applyBorder="1" applyFont="1">
      <alignment vertical="center"/>
    </xf>
    <xf borderId="0" fillId="5" fontId="28" numFmtId="164" xfId="0" applyAlignment="1" applyFont="1" applyNumberFormat="1">
      <alignment horizontal="center" readingOrder="0" shrinkToFit="0" vertical="center" wrapText="1"/>
    </xf>
    <xf borderId="12" fillId="5" fontId="1" numFmtId="0" xfId="0" applyAlignment="1" applyBorder="1" applyFont="1">
      <alignment vertical="center"/>
    </xf>
    <xf borderId="12" fillId="5" fontId="24" numFmtId="0" xfId="0" applyAlignment="1" applyBorder="1" applyFont="1">
      <alignment horizontal="center" readingOrder="0" shrinkToFit="0" vertical="center" wrapText="1"/>
    </xf>
    <xf borderId="61" fillId="10" fontId="56" numFmtId="0" xfId="0" applyAlignment="1" applyBorder="1" applyFont="1">
      <alignment horizontal="center" readingOrder="0" shrinkToFit="0" vertical="center" wrapText="0"/>
    </xf>
    <xf borderId="62" fillId="0" fontId="14" numFmtId="0" xfId="0" applyAlignment="1" applyBorder="1" applyFont="1">
      <alignment horizontal="center" readingOrder="0" shrinkToFit="0" vertical="center" wrapText="0"/>
    </xf>
    <xf borderId="60" fillId="10" fontId="43" numFmtId="0" xfId="0" applyAlignment="1" applyBorder="1" applyFont="1">
      <alignment horizontal="center" readingOrder="0" shrinkToFit="0" vertical="center" wrapText="0"/>
    </xf>
    <xf borderId="0" fillId="11" fontId="23" numFmtId="164" xfId="0" applyAlignment="1" applyFont="1" applyNumberFormat="1">
      <alignment horizontal="center" readingOrder="0" shrinkToFit="0" vertical="center" wrapText="0"/>
    </xf>
    <xf borderId="67" fillId="10" fontId="61" numFmtId="0" xfId="0" applyAlignment="1" applyBorder="1" applyFont="1">
      <alignment horizontal="center" readingOrder="0" shrinkToFit="0" textRotation="90" vertical="center" wrapText="1"/>
    </xf>
    <xf borderId="65" fillId="10" fontId="43" numFmtId="0" xfId="0" applyAlignment="1" applyBorder="1" applyFont="1">
      <alignment horizontal="center" readingOrder="0" shrinkToFit="0" vertical="center" wrapText="0"/>
    </xf>
    <xf borderId="68" fillId="0" fontId="23" numFmtId="0" xfId="0" applyAlignment="1" applyBorder="1" applyFont="1">
      <alignment horizontal="center" shrinkToFit="0" vertical="center" wrapText="1"/>
    </xf>
    <xf borderId="68" fillId="0" fontId="23" numFmtId="0" xfId="0" applyAlignment="1" applyBorder="1" applyFont="1">
      <alignment horizontal="center" readingOrder="0" shrinkToFit="0" vertical="center" wrapText="1"/>
    </xf>
    <xf borderId="68" fillId="11" fontId="23" numFmtId="164" xfId="0" applyAlignment="1" applyBorder="1" applyFont="1" applyNumberFormat="1">
      <alignment horizontal="center" readingOrder="0" shrinkToFit="0" vertical="center" wrapText="0"/>
    </xf>
    <xf borderId="12" fillId="9" fontId="23" numFmtId="0" xfId="0" applyAlignment="1" applyBorder="1" applyFont="1">
      <alignment horizontal="center" readingOrder="0" shrinkToFit="0" vertical="center" wrapText="1"/>
    </xf>
    <xf borderId="68" fillId="9" fontId="24" numFmtId="0" xfId="0" applyAlignment="1" applyBorder="1" applyFont="1">
      <alignment horizontal="center" readingOrder="0" shrinkToFit="0" vertical="center" wrapText="1"/>
    </xf>
    <xf borderId="0" fillId="9" fontId="24" numFmtId="0" xfId="0" applyAlignment="1" applyFont="1">
      <alignment horizontal="center" readingOrder="0" shrinkToFit="0" vertical="center" wrapText="1"/>
    </xf>
    <xf borderId="12" fillId="11" fontId="23" numFmtId="0" xfId="0" applyAlignment="1" applyBorder="1" applyFont="1">
      <alignment horizontal="center" readingOrder="0" shrinkToFit="0" vertical="center" wrapText="1"/>
    </xf>
    <xf borderId="68" fillId="11" fontId="1" numFmtId="0" xfId="0" applyAlignment="1" applyBorder="1" applyFont="1">
      <alignment vertical="center"/>
    </xf>
    <xf borderId="0" fillId="11" fontId="1" numFmtId="0" xfId="0" applyAlignment="1" applyFont="1">
      <alignment vertical="center"/>
    </xf>
    <xf borderId="12" fillId="0" fontId="23" numFmtId="0" xfId="0" applyAlignment="1" applyBorder="1" applyFont="1">
      <alignment horizontal="center" readingOrder="0" shrinkToFit="0" vertical="center" wrapText="1"/>
    </xf>
    <xf borderId="68" fillId="0" fontId="1" numFmtId="0" xfId="0" applyAlignment="1" applyBorder="1" applyFont="1">
      <alignment vertical="center"/>
    </xf>
    <xf borderId="12" fillId="11" fontId="23" numFmtId="0" xfId="0" applyAlignment="1" applyBorder="1" applyFont="1">
      <alignment horizontal="center" shrinkToFit="0" vertical="center" wrapText="1"/>
    </xf>
    <xf borderId="68" fillId="9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11" fontId="24" numFmtId="0" xfId="0" applyAlignment="1" applyFont="1">
      <alignment horizontal="center" readingOrder="0" shrinkToFit="0" vertical="center" wrapText="1"/>
    </xf>
    <xf borderId="8" fillId="2" fontId="20" numFmtId="0" xfId="0" applyAlignment="1" applyBorder="1" applyFont="1">
      <alignment horizontal="center" readingOrder="0" shrinkToFit="0" vertical="center" wrapText="0"/>
    </xf>
    <xf borderId="68" fillId="2" fontId="20" numFmtId="0" xfId="0" applyAlignment="1" applyBorder="1" applyFont="1">
      <alignment horizontal="center" readingOrder="0" shrinkToFit="0" vertical="center" wrapText="0"/>
    </xf>
    <xf borderId="12" fillId="11" fontId="23" numFmtId="169" xfId="0" applyAlignment="1" applyBorder="1" applyFont="1" applyNumberFormat="1">
      <alignment horizontal="center" readingOrder="0" vertical="center"/>
    </xf>
    <xf borderId="12" fillId="9" fontId="24" numFmtId="0" xfId="0" applyAlignment="1" applyBorder="1" applyFont="1">
      <alignment horizontal="center" readingOrder="0" shrinkToFit="0" vertical="center" wrapText="1"/>
    </xf>
    <xf borderId="12" fillId="0" fontId="24" numFmtId="0" xfId="0" applyAlignment="1" applyBorder="1" applyFont="1">
      <alignment horizontal="center" readingOrder="0" shrinkToFit="0" vertical="center" wrapText="1"/>
    </xf>
    <xf borderId="63" fillId="10" fontId="38" numFmtId="0" xfId="0" applyAlignment="1" applyBorder="1" applyFont="1">
      <alignment horizontal="center"/>
    </xf>
    <xf borderId="71" fillId="0" fontId="3" numFmtId="0" xfId="0" applyBorder="1" applyFont="1"/>
    <xf borderId="65" fillId="5" fontId="38" numFmtId="0" xfId="0" applyAlignment="1" applyBorder="1" applyFont="1">
      <alignment horizontal="center"/>
    </xf>
    <xf borderId="64" fillId="10" fontId="38" numFmtId="0" xfId="0" applyAlignment="1" applyBorder="1" applyFont="1">
      <alignment horizontal="center"/>
    </xf>
    <xf borderId="72" fillId="0" fontId="3" numFmtId="0" xfId="0" applyBorder="1" applyFont="1"/>
    <xf borderId="70" fillId="10" fontId="6" numFmtId="0" xfId="0" applyAlignment="1" applyBorder="1" applyFont="1">
      <alignment horizontal="center"/>
    </xf>
    <xf borderId="8" fillId="10" fontId="38" numFmtId="0" xfId="0" applyAlignment="1" applyBorder="1" applyFont="1">
      <alignment horizontal="center"/>
    </xf>
    <xf borderId="8" fillId="10" fontId="1" numFmtId="0" xfId="0" applyBorder="1" applyFont="1"/>
    <xf borderId="70" fillId="10" fontId="38" numFmtId="0" xfId="0" applyAlignment="1" applyBorder="1" applyFont="1">
      <alignment horizontal="center"/>
    </xf>
    <xf borderId="14" fillId="10" fontId="38" numFmtId="0" xfId="0" applyAlignment="1" applyBorder="1" applyFont="1">
      <alignment horizontal="center"/>
    </xf>
    <xf borderId="14" fillId="10" fontId="6" numFmtId="0" xfId="0" applyAlignment="1" applyBorder="1" applyFont="1">
      <alignment horizontal="center"/>
    </xf>
    <xf borderId="8" fillId="10" fontId="6" numFmtId="0" xfId="0" applyAlignment="1" applyBorder="1" applyFont="1">
      <alignment horizontal="center"/>
    </xf>
    <xf borderId="61" fillId="10" fontId="43" numFmtId="0" xfId="0" applyAlignment="1" applyBorder="1" applyFont="1">
      <alignment horizontal="center" readingOrder="0" shrinkToFit="0" vertical="center" wrapText="0"/>
    </xf>
    <xf borderId="68" fillId="0" fontId="6" numFmtId="0" xfId="0" applyAlignment="1" applyBorder="1" applyFont="1">
      <alignment horizontal="center"/>
    </xf>
    <xf borderId="12" fillId="0" fontId="23" numFmtId="0" xfId="0" applyBorder="1" applyFont="1"/>
    <xf borderId="12" fillId="0" fontId="28" numFmtId="0" xfId="0" applyAlignment="1" applyBorder="1" applyFont="1">
      <alignment horizontal="center" shrinkToFit="0" wrapText="1"/>
    </xf>
    <xf borderId="12" fillId="0" fontId="23" numFmtId="0" xfId="0" applyAlignment="1" applyBorder="1" applyFont="1">
      <alignment horizontal="center"/>
    </xf>
    <xf borderId="12" fillId="0" fontId="1" numFmtId="0" xfId="0" applyBorder="1" applyFont="1"/>
    <xf borderId="12" fillId="0" fontId="47" numFmtId="0" xfId="0" applyAlignment="1" applyBorder="1" applyFont="1">
      <alignment horizontal="center"/>
    </xf>
    <xf borderId="0" fillId="0" fontId="23" numFmtId="0" xfId="0" applyAlignment="1" applyFont="1">
      <alignment horizontal="center"/>
    </xf>
    <xf borderId="12" fillId="9" fontId="1" numFmtId="164" xfId="0" applyBorder="1" applyFont="1" applyNumberFormat="1"/>
    <xf borderId="12" fillId="9" fontId="1" numFmtId="0" xfId="0" applyBorder="1" applyFont="1"/>
    <xf borderId="68" fillId="11" fontId="6" numFmtId="0" xfId="0" applyAlignment="1" applyBorder="1" applyFont="1">
      <alignment horizontal="center"/>
    </xf>
    <xf borderId="12" fillId="11" fontId="23" numFmtId="0" xfId="0" applyBorder="1" applyFont="1"/>
    <xf borderId="12" fillId="11" fontId="28" numFmtId="0" xfId="0" applyAlignment="1" applyBorder="1" applyFont="1">
      <alignment horizontal="center" readingOrder="0" shrinkToFit="0" wrapText="1"/>
    </xf>
    <xf borderId="12" fillId="11" fontId="23" numFmtId="0" xfId="0" applyAlignment="1" applyBorder="1" applyFont="1">
      <alignment horizontal="center"/>
    </xf>
    <xf borderId="12" fillId="11" fontId="1" numFmtId="0" xfId="0" applyBorder="1" applyFont="1"/>
    <xf borderId="12" fillId="11" fontId="28" numFmtId="0" xfId="0" applyAlignment="1" applyBorder="1" applyFont="1">
      <alignment horizontal="center" shrinkToFit="0" wrapText="1"/>
    </xf>
    <xf borderId="12" fillId="11" fontId="47" numFmtId="0" xfId="0" applyAlignment="1" applyBorder="1" applyFont="1">
      <alignment horizontal="center"/>
    </xf>
    <xf borderId="0" fillId="11" fontId="23" numFmtId="0" xfId="0" applyAlignment="1" applyFont="1">
      <alignment horizontal="center"/>
    </xf>
    <xf borderId="12" fillId="11" fontId="1" numFmtId="164" xfId="0" applyBorder="1" applyFont="1" applyNumberFormat="1"/>
    <xf borderId="12" fillId="0" fontId="47" numFmtId="0" xfId="0" applyAlignment="1" applyBorder="1" applyFont="1">
      <alignment horizontal="center" readingOrder="0"/>
    </xf>
    <xf borderId="12" fillId="0" fontId="28" numFmtId="164" xfId="0" applyAlignment="1" applyBorder="1" applyFont="1" applyNumberFormat="1">
      <alignment horizontal="center" shrinkToFit="0" wrapText="1"/>
    </xf>
    <xf borderId="12" fillId="0" fontId="1" numFmtId="0" xfId="0" applyBorder="1" applyFont="1"/>
    <xf borderId="12" fillId="11" fontId="28" numFmtId="164" xfId="0" applyAlignment="1" applyBorder="1" applyFont="1" applyNumberFormat="1">
      <alignment horizontal="center" shrinkToFit="0" wrapText="1"/>
    </xf>
    <xf borderId="0" fillId="11" fontId="1" numFmtId="0" xfId="0" applyFont="1"/>
    <xf borderId="12" fillId="11" fontId="1" numFmtId="0" xfId="0" applyBorder="1" applyFont="1"/>
    <xf borderId="12" fillId="5" fontId="28" numFmtId="0" xfId="0" applyAlignment="1" applyBorder="1" applyFont="1">
      <alignment horizontal="center" shrinkToFit="0" wrapText="1"/>
    </xf>
    <xf borderId="12" fillId="5" fontId="28" numFmtId="164" xfId="0" applyAlignment="1" applyBorder="1" applyFont="1" applyNumberFormat="1">
      <alignment horizontal="center" shrinkToFit="0" wrapText="1"/>
    </xf>
    <xf borderId="12" fillId="0" fontId="1" numFmtId="164" xfId="0" applyBorder="1" applyFont="1" applyNumberFormat="1"/>
    <xf borderId="68" fillId="0" fontId="6" numFmtId="0" xfId="0" applyAlignment="1" applyBorder="1" applyFont="1">
      <alignment horizontal="center"/>
    </xf>
    <xf borderId="14" fillId="0" fontId="6" numFmtId="165" xfId="0" applyAlignment="1" applyBorder="1" applyFont="1" applyNumberFormat="1">
      <alignment horizontal="center" readingOrder="0"/>
    </xf>
    <xf borderId="8" fillId="10" fontId="62" numFmtId="0" xfId="0" applyAlignment="1" applyBorder="1" applyFont="1">
      <alignment horizontal="center"/>
    </xf>
    <xf borderId="14" fillId="10" fontId="63" numFmtId="0" xfId="0" applyAlignment="1" applyBorder="1" applyFont="1">
      <alignment horizontal="center"/>
    </xf>
    <xf borderId="14" fillId="10" fontId="1" numFmtId="0" xfId="0" applyBorder="1" applyFont="1"/>
    <xf borderId="0" fillId="0" fontId="24" numFmtId="0" xfId="0" applyAlignment="1" applyFont="1">
      <alignment horizontal="center" shrinkToFit="0" wrapText="1"/>
    </xf>
    <xf borderId="19" fillId="0" fontId="1" numFmtId="0" xfId="0" applyBorder="1" applyFont="1"/>
    <xf borderId="12" fillId="11" fontId="23" numFmtId="164" xfId="0" applyAlignment="1" applyBorder="1" applyFont="1" applyNumberFormat="1">
      <alignment horizontal="center"/>
    </xf>
    <xf borderId="19" fillId="11" fontId="1" numFmtId="0" xfId="0" applyBorder="1" applyFont="1"/>
    <xf borderId="0" fillId="11" fontId="24" numFmtId="0" xfId="0" applyAlignment="1" applyFont="1">
      <alignment horizontal="center" shrinkToFit="0" wrapText="1"/>
    </xf>
    <xf borderId="12" fillId="11" fontId="23" numFmtId="0" xfId="0" applyAlignment="1" applyBorder="1" applyFont="1">
      <alignment horizontal="center"/>
    </xf>
    <xf borderId="12" fillId="0" fontId="23" numFmtId="0" xfId="0" applyAlignment="1" applyBorder="1" applyFont="1">
      <alignment horizontal="center"/>
    </xf>
    <xf borderId="19" fillId="5" fontId="1" numFmtId="0" xfId="0" applyBorder="1" applyFont="1"/>
    <xf borderId="12" fillId="0" fontId="1" numFmtId="0" xfId="0" applyAlignment="1" applyBorder="1" applyFont="1">
      <alignment readingOrder="0" vertical="center"/>
    </xf>
    <xf borderId="62" fillId="0" fontId="14" numFmtId="164" xfId="0" applyAlignment="1" applyBorder="1" applyFont="1" applyNumberFormat="1">
      <alignment horizontal="center" readingOrder="0" shrinkToFit="0" vertical="center" wrapText="0"/>
    </xf>
    <xf borderId="0" fillId="6" fontId="41" numFmtId="0" xfId="0" applyAlignment="1" applyFont="1">
      <alignment horizontal="center" shrinkToFit="0" textRotation="90" vertical="center" wrapText="1"/>
    </xf>
    <xf borderId="0" fillId="6" fontId="43" numFmtId="0" xfId="0" applyAlignment="1" applyFont="1">
      <alignment horizontal="center" readingOrder="0" shrinkToFit="0" vertical="center" wrapText="0"/>
    </xf>
    <xf borderId="0" fillId="6" fontId="23" numFmtId="0" xfId="0" applyAlignment="1" applyFont="1">
      <alignment horizontal="left" readingOrder="0" shrinkToFit="0" vertical="center" wrapText="0"/>
    </xf>
    <xf borderId="0" fillId="6" fontId="28" numFmtId="0" xfId="0" applyAlignment="1" applyFont="1">
      <alignment horizontal="center" readingOrder="0" shrinkToFit="0" vertical="center" wrapText="1"/>
    </xf>
    <xf borderId="68" fillId="6" fontId="23" numFmtId="0" xfId="0" applyAlignment="1" applyBorder="1" applyFont="1">
      <alignment horizontal="center" readingOrder="0" shrinkToFit="0" vertical="center" wrapText="0"/>
    </xf>
    <xf borderId="0" fillId="6" fontId="23" numFmtId="0" xfId="0" applyAlignment="1" applyFont="1">
      <alignment horizontal="center" shrinkToFit="0" vertical="center" wrapText="0"/>
    </xf>
    <xf borderId="11" fillId="6" fontId="23" numFmtId="0" xfId="0" applyAlignment="1" applyBorder="1" applyFont="1">
      <alignment horizontal="center" readingOrder="0" shrinkToFit="0" vertical="center" wrapText="0"/>
    </xf>
    <xf borderId="11" fillId="6" fontId="23" numFmtId="0" xfId="0" applyAlignment="1" applyBorder="1" applyFont="1">
      <alignment horizontal="center" shrinkToFit="0" vertical="center" wrapText="0"/>
    </xf>
    <xf borderId="68" fillId="6" fontId="23" numFmtId="0" xfId="0" applyAlignment="1" applyBorder="1" applyFont="1">
      <alignment horizontal="center" shrinkToFit="0" vertical="center" wrapText="0"/>
    </xf>
    <xf borderId="0" fillId="6" fontId="28" numFmtId="164" xfId="0" applyAlignment="1" applyFont="1" applyNumberFormat="1">
      <alignment horizontal="center" readingOrder="0" shrinkToFit="0" vertical="center" wrapText="1"/>
    </xf>
    <xf borderId="11" fillId="6" fontId="24" numFmtId="0" xfId="0" applyAlignment="1" applyBorder="1" applyFont="1">
      <alignment horizontal="center" readingOrder="0" shrinkToFit="0" vertical="center" wrapText="1"/>
    </xf>
    <xf borderId="0" fillId="6" fontId="24" numFmtId="0" xfId="0" applyAlignment="1" applyFont="1">
      <alignment horizontal="center" readingOrder="0" shrinkToFit="0" vertical="center" wrapText="1"/>
    </xf>
    <xf borderId="0" fillId="6" fontId="23" numFmtId="0" xfId="0" applyAlignment="1" applyFont="1">
      <alignment horizontal="center" readingOrder="0" shrinkToFit="0" vertical="center" wrapText="1"/>
    </xf>
    <xf borderId="0" fillId="6" fontId="41" numFmtId="0" xfId="0" applyAlignment="1" applyFont="1">
      <alignment horizontal="center" shrinkToFit="0" vertical="center" wrapText="0"/>
    </xf>
    <xf borderId="12" fillId="0" fontId="43" numFmtId="0" xfId="0" applyAlignment="1" applyBorder="1" applyFont="1">
      <alignment horizontal="center" readingOrder="0" shrinkToFit="0" vertical="center" wrapText="0"/>
    </xf>
    <xf borderId="12" fillId="11" fontId="43" numFmtId="0" xfId="0" applyAlignment="1" applyBorder="1" applyFont="1">
      <alignment horizontal="center" readingOrder="0" shrinkToFit="0" vertical="center" wrapText="0"/>
    </xf>
    <xf borderId="12" fillId="11" fontId="23" numFmtId="0" xfId="0" applyAlignment="1" applyBorder="1" applyFont="1">
      <alignment horizontal="center" readingOrder="0"/>
    </xf>
    <xf borderId="12" fillId="11" fontId="47" numFmtId="0" xfId="0" applyAlignment="1" applyBorder="1" applyFont="1">
      <alignment horizontal="center" readingOrder="0"/>
    </xf>
    <xf borderId="12" fillId="2" fontId="20" numFmtId="0" xfId="0" applyAlignment="1" applyBorder="1" applyFont="1">
      <alignment horizontal="center" readingOrder="0" shrinkToFit="0" vertical="center" wrapText="0"/>
    </xf>
    <xf borderId="12" fillId="0" fontId="28" numFmtId="0" xfId="0" applyAlignment="1" applyBorder="1" applyFont="1">
      <alignment horizontal="center" readingOrder="0" shrinkToFit="0" vertical="center" wrapText="1"/>
    </xf>
    <xf borderId="0" fillId="2" fontId="43" numFmtId="0" xfId="0" applyAlignment="1" applyFont="1">
      <alignment horizontal="center" readingOrder="0" shrinkToFit="0" vertical="center" wrapText="0"/>
    </xf>
    <xf borderId="69" fillId="0" fontId="14" numFmtId="169" xfId="0" applyAlignment="1" applyBorder="1" applyFont="1" applyNumberFormat="1">
      <alignment horizontal="center" readingOrder="0" shrinkToFit="0" vertical="center" wrapText="0"/>
    </xf>
    <xf borderId="0" fillId="2" fontId="41" numFmtId="0" xfId="0" applyAlignment="1" applyFont="1">
      <alignment horizontal="center" readingOrder="0" shrinkToFit="0" textRotation="90" vertical="center" wrapText="1"/>
    </xf>
    <xf borderId="70" fillId="2" fontId="20" numFmtId="0" xfId="0" applyAlignment="1" applyBorder="1" applyFont="1">
      <alignment horizontal="center" readingOrder="0" shrinkToFit="0" vertical="center" wrapText="0"/>
    </xf>
    <xf borderId="66" fillId="2" fontId="20" numFmtId="0" xfId="0" applyAlignment="1" applyBorder="1" applyFont="1">
      <alignment horizontal="center" readingOrder="0" shrinkToFit="0" vertical="center" wrapText="0"/>
    </xf>
    <xf borderId="12" fillId="0" fontId="23" numFmtId="0" xfId="0" applyAlignment="1" applyBorder="1" applyFont="1">
      <alignment horizontal="center" readingOrder="0"/>
    </xf>
    <xf borderId="62" fillId="0" fontId="14" numFmtId="169" xfId="0" applyAlignment="1" applyBorder="1" applyFont="1" applyNumberFormat="1">
      <alignment horizontal="center" readingOrder="0" shrinkToFit="0" vertical="center" wrapText="0"/>
    </xf>
    <xf borderId="0" fillId="2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438150</xdr:colOff>
      <xdr:row>0</xdr:row>
      <xdr:rowOff>0</xdr:rowOff>
    </xdr:from>
    <xdr:ext cx="4638675" cy="3286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533400</xdr:colOff>
      <xdr:row>3</xdr:row>
      <xdr:rowOff>209550</xdr:rowOff>
    </xdr:from>
    <xdr:ext cx="7353300" cy="52006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62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62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0</xdr:rowOff>
    </xdr:from>
    <xdr:ext cx="2876550" cy="28765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962025</xdr:colOff>
      <xdr:row>2</xdr:row>
      <xdr:rowOff>133350</xdr:rowOff>
    </xdr:from>
    <xdr:ext cx="3200400" cy="3200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paELi1iAkdA?feature=share" TargetMode="External"/><Relationship Id="rId2" Type="http://schemas.openxmlformats.org/officeDocument/2006/relationships/hyperlink" Target="https://www.youtube.com/watch?v=F-x7OBhfTbE&amp;list=PLzpaTn1JpGOqQJduMfiiMAYxQuI6r-3SE&amp;index=18" TargetMode="External"/><Relationship Id="rId3" Type="http://schemas.openxmlformats.org/officeDocument/2006/relationships/hyperlink" Target="https://youtube.com/shorts/tI527-gE3RM?feature=share" TargetMode="External"/><Relationship Id="rId4" Type="http://schemas.openxmlformats.org/officeDocument/2006/relationships/hyperlink" Target="https://www.youtube.com/watch?v=wQdfeB80fqo" TargetMode="External"/><Relationship Id="rId5" Type="http://schemas.openxmlformats.org/officeDocument/2006/relationships/hyperlink" Target="https://youtube.com/shorts/V5wQeHb4xAo?feature=share" TargetMode="External"/><Relationship Id="rId6" Type="http://schemas.openxmlformats.org/officeDocument/2006/relationships/hyperlink" Target="https://www.mensjournal.com/.image/ar_4:3%2Cc_fill%2Ccs_srgb%2Cfl_progressive%2Cq_auto:good%2Cw_1200/MTk2MTM2ODMwMDA5NDE5MjY5/mj0318_hf_kettlebellpress_01.jpg" TargetMode="External"/><Relationship Id="rId7" Type="http://schemas.openxmlformats.org/officeDocument/2006/relationships/hyperlink" Target="https://www.youtube.com/watch?v=SzEJ5ubXTQc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tatic.strengthlevel.com/images/exercises/smith-machine-bench-press/smith-machine-bench-press-800.jpg" TargetMode="External"/><Relationship Id="rId22" Type="http://schemas.openxmlformats.org/officeDocument/2006/relationships/hyperlink" Target="https://i.ytimg.com/vi/aJDMkv6UMcA/maxresdefault.jpg" TargetMode="External"/><Relationship Id="rId21" Type="http://schemas.openxmlformats.org/officeDocument/2006/relationships/hyperlink" Target="https://www.technogym.com/es-ES/feed/images/MG6000-NBGJV0/pure-biceps-plp.jpg" TargetMode="External"/><Relationship Id="rId24" Type="http://schemas.openxmlformats.org/officeDocument/2006/relationships/hyperlink" Target="https://img.medicalexpo.es/images_me/photo-g/70274-16899187.webp" TargetMode="External"/><Relationship Id="rId23" Type="http://schemas.openxmlformats.org/officeDocument/2006/relationships/hyperlink" Target="https://www.entrenamientos.com/media/cache/exercise_375/uploads/exercise/extension-de-gemelos-en-maquina-de-prensa-horizontal-init-pos-1219.png" TargetMode="External"/><Relationship Id="rId1" Type="http://schemas.openxmlformats.org/officeDocument/2006/relationships/hyperlink" Target="https://cdn.shopify.com/s/files/1/0269/5551/3900/files/Cable-One-Arm-Lateral-Raise_3e57189f-cdf3-46ee-9a89-6ca054eae56a_600x600.png?v=1612138775" TargetMode="External"/><Relationship Id="rId2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3" Type="http://schemas.openxmlformats.org/officeDocument/2006/relationships/hyperlink" Target="https://i.ytimg.com/vi/fRIgvZWg2BI/maxresdefault.jpg" TargetMode="External"/><Relationship Id="rId4" Type="http://schemas.openxmlformats.org/officeDocument/2006/relationships/hyperlink" Target="https://encrypted-tbn0.gstatic.com/images?q=tbn:ANd9GcRlgL3zmPtvzFTot9BekSG1KDCZF0TSGOcqwQ&amp;s" TargetMode="External"/><Relationship Id="rId9" Type="http://schemas.openxmlformats.org/officeDocument/2006/relationships/hyperlink" Target="https://img.medicalexpo.es/images_me/photo-mg/70274-16875268.jpg" TargetMode="External"/><Relationship Id="rId26" Type="http://schemas.openxmlformats.org/officeDocument/2006/relationships/hyperlink" Target="https://cdn.shopify.com/s/files/1/0269/5551/3900/files/Leg-Extension_41d91d3f-4b9c-4374-82e2-1d697ce35fe4_600x600.png?v=1612138862" TargetMode="External"/><Relationship Id="rId25" Type="http://schemas.openxmlformats.org/officeDocument/2006/relationships/hyperlink" Target="https://static.strengthlevel.com/images/exercises/lying-leg-curl/lying-leg-curl-800.jpg" TargetMode="External"/><Relationship Id="rId28" Type="http://schemas.openxmlformats.org/officeDocument/2006/relationships/hyperlink" Target="https://cdn.shopify.com/s/files/1/0269/5551/3900/files/Hack-Squat_044b3d09-ffa7-4728-b56f-f4fb3c175548_600x600.png?v=1612139060" TargetMode="External"/><Relationship Id="rId27" Type="http://schemas.openxmlformats.org/officeDocument/2006/relationships/hyperlink" Target="https://vitruve.fit/wp-content/uploads/2022/07/image2-11-1.png" TargetMode="External"/><Relationship Id="rId5" Type="http://schemas.openxmlformats.org/officeDocument/2006/relationships/hyperlink" Target="https://www.gymequip.eu/wp-content/uploads/2015/10/T-Bar-Row-Machine-2.jpg" TargetMode="External"/><Relationship Id="rId6" Type="http://schemas.openxmlformats.org/officeDocument/2006/relationships/hyperlink" Target="https://www.trainologym.com/wp-content/uploads/2022/10/Imagen-6-203x245.png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encrypted-tbn0.gstatic.com/images?q=tbn:ANd9GcRn8B9xIbzeQ6uqytHZPDmsH6t0Qm2Yf8NzAQ&amp;s" TargetMode="External"/><Relationship Id="rId8" Type="http://schemas.openxmlformats.org/officeDocument/2006/relationships/hyperlink" Target="https://i.ytimg.com/vi/5LUnMSoveNo/maxresdefault.jpg" TargetMode="External"/><Relationship Id="rId11" Type="http://schemas.openxmlformats.org/officeDocument/2006/relationships/hyperlink" Target="https://www.technogym.com/es-INT/feed/images/MG7000-NBGJV0/pure-standing-leg-curl-plp.jpg" TargetMode="External"/><Relationship Id="rId10" Type="http://schemas.openxmlformats.org/officeDocument/2006/relationships/hyperlink" Target="https://www1.lovethatdesign.com/wp-content/uploads/2020/12/FeaturedImage_PURE-%E2%80%93-LEG-EXTENSION_00-800x640.jpg" TargetMode="External"/><Relationship Id="rId13" Type="http://schemas.openxmlformats.org/officeDocument/2006/relationships/hyperlink" Target="https://alphafitness.mx/wp-content/uploads/2024/08/Hammer-Leg-Press.png" TargetMode="External"/><Relationship Id="rId12" Type="http://schemas.openxmlformats.org/officeDocument/2006/relationships/hyperlink" Target="https://cdn.shopify.com/s/files/1/0425/7667/4983/files/2_c9560585-c10c-48ec-a77a-d07a5d1bb3a4.png?v=1706627009" TargetMode="External"/><Relationship Id="rId15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14" Type="http://schemas.openxmlformats.org/officeDocument/2006/relationships/hyperlink" Target="https://encrypted-tbn0.gstatic.com/images?q=tbn:ANd9GcQrYtvTlTxUmQk71CwkC3bXeZ4v-PvELKy64w&amp;s" TargetMode="External"/><Relationship Id="rId17" Type="http://schemas.openxmlformats.org/officeDocument/2006/relationships/hyperlink" Target="https://www.technogym.com/es-ES/feed/images/MG2500-NBGJV0/pure-low-row-plp.jpg" TargetMode="External"/><Relationship Id="rId16" Type="http://schemas.openxmlformats.org/officeDocument/2006/relationships/hyperlink" Target="https://static.strengthlevel.com/images/exercises/bench-pull/bench-pull-800.jpg" TargetMode="External"/><Relationship Id="rId19" Type="http://schemas.openxmlformats.org/officeDocument/2006/relationships/hyperlink" Target="https://encrypted-tbn0.gstatic.com/images?q=tbn:ANd9GcTnvLws6Mv6IL83GdI-5quU2_xNrxWxE09x1Q&amp;s" TargetMode="External"/><Relationship Id="rId18" Type="http://schemas.openxmlformats.org/officeDocument/2006/relationships/hyperlink" Target="https://youtube.com/shorts/EWrW1sr6VUU?feature=share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shopify.com/s/files/1/0269/5551/3900/files/Hack-Squat_044b3d09-ffa7-4728-b56f-f4fb3c175548_600x600.png?v=1612139060" TargetMode="External"/><Relationship Id="rId22" Type="http://schemas.openxmlformats.org/officeDocument/2006/relationships/hyperlink" Target="https://static.strengthlevel.com/images/exercises/machine-lateral-raise/machine-lateral-raise-800.jpg" TargetMode="External"/><Relationship Id="rId21" Type="http://schemas.openxmlformats.org/officeDocument/2006/relationships/hyperlink" Target="https://encrypted-tbn0.gstatic.com/images?q=tbn:ANd9GcQrYtvTlTxUmQk71CwkC3bXeZ4v-PvELKy64w&amp;s" TargetMode="External"/><Relationship Id="rId24" Type="http://schemas.openxmlformats.org/officeDocument/2006/relationships/hyperlink" Target="https://encrypted-tbn0.gstatic.com/images?q=tbn:ANd9GcTnvLws6Mv6IL83GdI-5quU2_xNrxWxE09x1Q&amp;s" TargetMode="External"/><Relationship Id="rId23" Type="http://schemas.openxmlformats.org/officeDocument/2006/relationships/hyperlink" Target="https://www.technogym.com/es-ES/feed/images/MG6000-NBGJV0/pure-biceps-plp.jpg" TargetMode="External"/><Relationship Id="rId1" Type="http://schemas.openxmlformats.org/officeDocument/2006/relationships/hyperlink" Target="https://www1.lovethatdesign.com/wp-content/uploads/2020/12/FeaturedImage_PURE-%E2%80%93-LEG-EXTENSION_00-800x640.jpg" TargetMode="External"/><Relationship Id="rId2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3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4" Type="http://schemas.openxmlformats.org/officeDocument/2006/relationships/hyperlink" Target="https://static.strengthlevel.com/images/exercises/smith-machine-bench-press/smith-machine-bench-press-800.jpg" TargetMode="External"/><Relationship Id="rId9" Type="http://schemas.openxmlformats.org/officeDocument/2006/relationships/hyperlink" Target="https://static.strengthlevel.com/images/exercises/hammer-curl/hammer-curl-800.jpg" TargetMode="External"/><Relationship Id="rId26" Type="http://schemas.openxmlformats.org/officeDocument/2006/relationships/hyperlink" Target="https://blogladiadoresfit.com/wp-content/uploads/2021/02/peck-deck.jpg" TargetMode="External"/><Relationship Id="rId25" Type="http://schemas.openxmlformats.org/officeDocument/2006/relationships/hyperlink" Target="https://encrypted-tbn0.gstatic.com/images?q=tbn:ANd9GcRlgL3zmPtvzFTot9BekSG1KDCZF0TSGOcqwQ&amp;s" TargetMode="External"/><Relationship Id="rId28" Type="http://schemas.openxmlformats.org/officeDocument/2006/relationships/hyperlink" Target="https://cdn.shopify.com/s/files/1/0269/5551/3900/files/Triceps-Pressdown_e759437b-6200-4b44-b484-14db770024a4_600x600.png?v=1612136845" TargetMode="External"/><Relationship Id="rId27" Type="http://schemas.openxmlformats.org/officeDocument/2006/relationships/hyperlink" Target="https://www.gymequip.eu/wp-content/uploads/2015/10/T-Bar-Row-Machine-2.jpg" TargetMode="External"/><Relationship Id="rId5" Type="http://schemas.openxmlformats.org/officeDocument/2006/relationships/hyperlink" Target="https://barbend.com/wp-content/uploads/2022/02/smith-machine-kaz-press-barbend-movement-gif-masters.gif" TargetMode="External"/><Relationship Id="rId6" Type="http://schemas.openxmlformats.org/officeDocument/2006/relationships/hyperlink" Target="https://i.ytimg.com/vi/dp8qPpVfql4/maxresdefault.jpg" TargetMode="External"/><Relationship Id="rId29" Type="http://schemas.openxmlformats.org/officeDocument/2006/relationships/drawing" Target="../drawings/drawing4.xml"/><Relationship Id="rId7" Type="http://schemas.openxmlformats.org/officeDocument/2006/relationships/hyperlink" Target="https://hips.hearstapps.com/hmg-prod/images/banco-inclinado-1621951522.gif" TargetMode="External"/><Relationship Id="rId8" Type="http://schemas.openxmlformats.org/officeDocument/2006/relationships/hyperlink" Target="https://static.strengthlevel.com/images/exercises/lying-leg-curl/lying-leg-curl-800.jpg" TargetMode="External"/><Relationship Id="rId11" Type="http://schemas.openxmlformats.org/officeDocument/2006/relationships/hyperlink" Target="https://www.bodybuildingmealplan.com/wp-content/uploads/Bicep-Peak-Exercises-Cable-Bayesian-Curl.png" TargetMode="External"/><Relationship Id="rId10" Type="http://schemas.openxmlformats.org/officeDocument/2006/relationships/hyperlink" Target="https://akonfitness.com/cdn/shop/files/JALON4-scaled.jpg?v=1713775566&amp;width=1214" TargetMode="External"/><Relationship Id="rId13" Type="http://schemas.openxmlformats.org/officeDocument/2006/relationships/hyperlink" Target="https://fitcron.com/wp-content/uploads/2021/04/42171301-Cable-Wide-Neutral-Grip-PullDown_Back_720.gif" TargetMode="External"/><Relationship Id="rId12" Type="http://schemas.openxmlformats.org/officeDocument/2006/relationships/hyperlink" Target="https://www.technogym.com/es-ES/feed/images/MG2500-NBGJV0/pure-low-row-plp.jpg" TargetMode="External"/><Relationship Id="rId15" Type="http://schemas.openxmlformats.org/officeDocument/2006/relationships/hyperlink" Target="https://www.entrenamientos.com/media/cache/exercise_375/uploads/exercise/extension-de-gemelos-en-maquina-de-prensa-horizontal-init-pos-1219.png" TargetMode="External"/><Relationship Id="rId14" Type="http://schemas.openxmlformats.org/officeDocument/2006/relationships/hyperlink" Target="https://fitwill.app/_next/image?url=https%3A%2F%2Ffitwill.app%2Fapi%2Fimage%2F4378%3Fw%3D1024%26h%3D576&amp;w=3840&amp;q=75" TargetMode="External"/><Relationship Id="rId17" Type="http://schemas.openxmlformats.org/officeDocument/2006/relationships/hyperlink" Target="https://www.technogym.com/es-INT/feed/images/MG7000-NBGJV0/pure-standing-leg-curl-plp.jpg" TargetMode="External"/><Relationship Id="rId16" Type="http://schemas.openxmlformats.org/officeDocument/2006/relationships/hyperlink" Target="https://img.medicalexpo.es/images_me/photo-g/70274-16899187.webp" TargetMode="External"/><Relationship Id="rId19" Type="http://schemas.openxmlformats.org/officeDocument/2006/relationships/hyperlink" Target="https://cdn.shopify.com/s/files/1/0425/7667/4983/files/2_c9560585-c10c-48ec-a77a-d07a5d1bb3a4.png?v=1706627009" TargetMode="External"/><Relationship Id="rId18" Type="http://schemas.openxmlformats.org/officeDocument/2006/relationships/hyperlink" Target="https://cdn.shopify.com/s/files/1/0269/5551/3900/files/Leg-Extension_41d91d3f-4b9c-4374-82e2-1d697ce35fe4_600x600.png?v=1612138862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trenamientos.com/media/cache/exercise_375/uploads/exercise/extension-de-gemelos-en-maquina-de-prensa-horizontal-init-pos-1219.png" TargetMode="External"/><Relationship Id="rId20" Type="http://schemas.openxmlformats.org/officeDocument/2006/relationships/hyperlink" Target="https://encrypted-tbn0.gstatic.com/images?q=tbn:ANd9GcQrYtvTlTxUmQk71CwkC3bXeZ4v-PvELKy64w&amp;s" TargetMode="External"/><Relationship Id="rId41" Type="http://schemas.openxmlformats.org/officeDocument/2006/relationships/drawing" Target="../drawings/drawing5.xml"/><Relationship Id="rId22" Type="http://schemas.openxmlformats.org/officeDocument/2006/relationships/hyperlink" Target="https://encrypted-tbn0.gstatic.com/images?q=tbn:ANd9GcTnvLws6Mv6IL83GdI-5quU2_xNrxWxE09x1Q&amp;s" TargetMode="External"/><Relationship Id="rId21" Type="http://schemas.openxmlformats.org/officeDocument/2006/relationships/hyperlink" Target="https://i.ytimg.com/vi/dp8qPpVfql4/hq720.jpg?sqp=-oaymwE7CK4FEIIDSFryq4qpAy0IARUAAAAAGAElAADIQj0AgKJD8AEB-AH-CYAC0AWKAgwIABABGF0gXShdMA8=&amp;rs=AOn4CLBTkNaiGan1osTLfkQV8tY1936rcA" TargetMode="External"/><Relationship Id="rId24" Type="http://schemas.openxmlformats.org/officeDocument/2006/relationships/hyperlink" Target="https://eliteatleta.com/wp-content/uploads/2023/08/Press-de-triceps-en-multipower.webp" TargetMode="External"/><Relationship Id="rId23" Type="http://schemas.openxmlformats.org/officeDocument/2006/relationships/hyperlink" Target="https://static.strengthlevel.com/images/exercises/smith-machine-bench-press/smith-machine-bench-press-800.jpg" TargetMode="External"/><Relationship Id="rId1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2" Type="http://schemas.openxmlformats.org/officeDocument/2006/relationships/hyperlink" Target="https://k2usa.es/wp-content/uploads/2019/11/Technogym-Pure-Strength-Wide-Chest-Press-Used-600x600.jpg.webp" TargetMode="External"/><Relationship Id="rId3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4" Type="http://schemas.openxmlformats.org/officeDocument/2006/relationships/hyperlink" Target="https://cdn.shopify.com/s/files/1/0269/5551/3900/files/Cable-Crossover_09c90616-2777-47ed-927e-d5987edfce09_600x600.png?v=1612138036" TargetMode="External"/><Relationship Id="rId9" Type="http://schemas.openxmlformats.org/officeDocument/2006/relationships/hyperlink" Target="https://fitnessdergisi.com/wp-content/uploads/2023/02/Preacher-Curl-Nasil-Yapilir-Hangi-Kaslari-Gelistirir-1.jpg" TargetMode="External"/><Relationship Id="rId26" Type="http://schemas.openxmlformats.org/officeDocument/2006/relationships/hyperlink" Target="https://static.strengthlevel.com/images/exercises/machine-lateral-raise/machine-lateral-raise-800.jpg" TargetMode="External"/><Relationship Id="rId25" Type="http://schemas.openxmlformats.org/officeDocument/2006/relationships/hyperlink" Target="https://chelosports.com/cdn/shop/files/1_jpg_1280x.png?v=1729177977" TargetMode="External"/><Relationship Id="rId28" Type="http://schemas.openxmlformats.org/officeDocument/2006/relationships/hyperlink" Target="https://static.vecteezy.com/system/resources/previews/006/417/623/non_2x/man-doing-dumbbell-bicep-hammer-curls-flat-illustration-isolated-on-different-layer-workout-character-free-vector.jpg" TargetMode="External"/><Relationship Id="rId27" Type="http://schemas.openxmlformats.org/officeDocument/2006/relationships/hyperlink" Target="https://hips.hearstapps.com/hmg-prod/images/banco-inclinado-1621951522.gif" TargetMode="External"/><Relationship Id="rId5" Type="http://schemas.openxmlformats.org/officeDocument/2006/relationships/hyperlink" Target="https://cdn.shopify.com/s/files/1/0269/5551/3900/files/Cable-One-Arm-Lateral-Raise_3e57189f-cdf3-46ee-9a89-6ca054eae56a_600x600.png?v=1612138775" TargetMode="External"/><Relationship Id="rId6" Type="http://schemas.openxmlformats.org/officeDocument/2006/relationships/hyperlink" Target="https://cdn.shopify.com/s/files/1/0269/5551/3900/files/Triceps-Pressdown_e759437b-6200-4b44-b484-14db770024a4_600x600.png?v=1612136845" TargetMode="External"/><Relationship Id="rId29" Type="http://schemas.openxmlformats.org/officeDocument/2006/relationships/hyperlink" Target="https://i.pinimg.com/736x/c8/66/1b/c8661bd522dc931666bc89db76416678.jpg" TargetMode="External"/><Relationship Id="rId7" Type="http://schemas.openxmlformats.org/officeDocument/2006/relationships/hyperlink" Target="https://eresfitness.com/wp-content/uploads/30391105-Cable-Alternate-Triceps-Extension-female_Upper-Arms_max.webp" TargetMode="External"/><Relationship Id="rId8" Type="http://schemas.openxmlformats.org/officeDocument/2006/relationships/hyperlink" Target="https://static.strengthlevel.com/images/exercises/ez-bar-curl/ez-bar-curl-800.jpg" TargetMode="External"/><Relationship Id="rId31" Type="http://schemas.openxmlformats.org/officeDocument/2006/relationships/hyperlink" Target="https://www.technogym.com/es-ES/feed/images/MG2500-NBGJV0/pure-low-row-plp.jpg" TargetMode="External"/><Relationship Id="rId30" Type="http://schemas.openxmlformats.org/officeDocument/2006/relationships/hyperlink" Target="https://alvarobuenoworkout.com/wp-content/uploads/2024/10/Remo-Gironda.png" TargetMode="External"/><Relationship Id="rId11" Type="http://schemas.openxmlformats.org/officeDocument/2006/relationships/hyperlink" Target="https://www.entrenamientos.com/media/cache/exercise_375/uploads/exercise/jalon-polea-alta-al-pecho-agarre-ancho-init-pos-5431.png" TargetMode="External"/><Relationship Id="rId33" Type="http://schemas.openxmlformats.org/officeDocument/2006/relationships/hyperlink" Target="https://fitwill.app/api/image/3100?p=1&amp;w=1024&amp;h=576" TargetMode="External"/><Relationship Id="rId10" Type="http://schemas.openxmlformats.org/officeDocument/2006/relationships/hyperlink" Target="https://static.strengthlevel.com/images/exercises/bench-pull/bench-pull-800.jpg" TargetMode="External"/><Relationship Id="rId32" Type="http://schemas.openxmlformats.org/officeDocument/2006/relationships/hyperlink" Target="https://i.ytimg.com/vi/Ie103U-VtCc/hq720_2.jpg?sqp=-oaymwE7CK4FEIIDSFryq4qpAy0IARUAAAAAGAAlAADIQj0AgKJD8AEB-AG2CIACgA-KAgwIABABGEYgVChlMA8=&amp;rs=AOn4CLDbrPhuea3dKf1NZoXWeuTQSxA_ow" TargetMode="External"/><Relationship Id="rId13" Type="http://schemas.openxmlformats.org/officeDocument/2006/relationships/hyperlink" Target="https://i.ytimg.com/vi/CueVgLRuob8/maxresdefault.jpg" TargetMode="External"/><Relationship Id="rId35" Type="http://schemas.openxmlformats.org/officeDocument/2006/relationships/hyperlink" Target="https://static.strengthlevel.com/images/exercises/hip-adduction/hip-adduction-800.jpg" TargetMode="External"/><Relationship Id="rId12" Type="http://schemas.openxmlformats.org/officeDocument/2006/relationships/hyperlink" Target="https://racksrooster.com/wp-content/uploads/2022/10/IMG_6649.jpg" TargetMode="External"/><Relationship Id="rId34" Type="http://schemas.openxmlformats.org/officeDocument/2006/relationships/hyperlink" Target="https://miro.medium.com/v2/resize:fit:660/1*GrUZ3L1DEGvcHwW6EIRe7w.jpeg" TargetMode="External"/><Relationship Id="rId15" Type="http://schemas.openxmlformats.org/officeDocument/2006/relationships/hyperlink" Target="https://static.strengthlevel.com/images/exercises/hip-adduction/hip-adduction-800.jpg" TargetMode="External"/><Relationship Id="rId37" Type="http://schemas.openxmlformats.org/officeDocument/2006/relationships/hyperlink" Target="https://cdn.shopify.com/s/files/1/0269/5551/3900/files/Leg-Extension_41d91d3f-4b9c-4374-82e2-1d697ce35fe4_600x600.png?v=1612138862" TargetMode="External"/><Relationship Id="rId14" Type="http://schemas.openxmlformats.org/officeDocument/2006/relationships/hyperlink" Target="https://cdn.shopify.com/s/files/1/0269/5551/3900/files/High-Cable-Rear-Delt-Fly_600x600.png?v=1612541996" TargetMode="External"/><Relationship Id="rId36" Type="http://schemas.openxmlformats.org/officeDocument/2006/relationships/hyperlink" Target="https://static.strengthlevel.com/images/exercises/lying-leg-curl/lying-leg-curl-800.jpg" TargetMode="External"/><Relationship Id="rId17" Type="http://schemas.openxmlformats.org/officeDocument/2006/relationships/hyperlink" Target="https://cdn.shopify.com/s/files/1/0425/7667/4983/files/2_c9560585-c10c-48ec-a77a-d07a5d1bb3a4.png?v=1706627009" TargetMode="External"/><Relationship Id="rId39" Type="http://schemas.openxmlformats.org/officeDocument/2006/relationships/hyperlink" Target="https://images.ctfassets.net/ipjoepkmtnha/2rIzLe2NS5ewNmQFK5lgVq/012babea783e264d0e10e0a5aa85c2aa/pure_hack_squat_mainfeature01.jpg" TargetMode="External"/><Relationship Id="rId16" Type="http://schemas.openxmlformats.org/officeDocument/2006/relationships/hyperlink" Target="https://www.entrenamientos.com/media/cache/exercise_375/uploads/exercise/curl-femoral-a-una-pierna-con-maquina-de-pie-init-pos-5883.png" TargetMode="External"/><Relationship Id="rId38" Type="http://schemas.openxmlformats.org/officeDocument/2006/relationships/hyperlink" Target="https://encrypted-tbn0.gstatic.com/images?q=tbn:ANd9GcQ5qdjx0nc6T2iF8zJHl4-CUHuba8ap6eEzig&amp;s" TargetMode="External"/><Relationship Id="rId19" Type="http://schemas.openxmlformats.org/officeDocument/2006/relationships/hyperlink" Target="https://www.technogym.com/es-ES/feed/images/MG6500-NBGJV0/pure-leg-extension-plp_2.jpg" TargetMode="External"/><Relationship Id="rId18" Type="http://schemas.openxmlformats.org/officeDocument/2006/relationships/hyperlink" Target="https://shop.lifefitness.com/cdn/shop/files/plate-loaded-linear-leg-press-charcoalframe-blackuph_1000x1000_5c4d5373-804c-4c7c-9f66-9abcfbde43b8_1200x1200.jpg?v=1724685184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miro.medium.com/v2/resize:fit:660/1*GrUZ3L1DEGvcHwW6EIRe7w.jpeg" TargetMode="External"/><Relationship Id="rId22" Type="http://schemas.openxmlformats.org/officeDocument/2006/relationships/hyperlink" Target="https://www.entrenamientos.com/media/cache/exercise_375/uploads/exercise/curl-femoral-a-una-pierna-con-maquina-de-pie-init-pos-5883.png" TargetMode="External"/><Relationship Id="rId21" Type="http://schemas.openxmlformats.org/officeDocument/2006/relationships/hyperlink" Target="https://static.strengthlevel.com/images/exercises/hip-adduction/hip-adduction-800.jpg" TargetMode="External"/><Relationship Id="rId24" Type="http://schemas.openxmlformats.org/officeDocument/2006/relationships/hyperlink" Target="https://shop.lifefitness.com/cdn/shop/files/plate-loaded-linear-leg-press-charcoalframe-blackuph_1000x1000_5c4d5373-804c-4c7c-9f66-9abcfbde43b8_1200x1200.jpg?v=1724685184" TargetMode="External"/><Relationship Id="rId23" Type="http://schemas.openxmlformats.org/officeDocument/2006/relationships/hyperlink" Target="https://cdn.shopify.com/s/files/1/0425/7667/4983/files/2_c9560585-c10c-48ec-a77a-d07a5d1bb3a4.png?v=1706627009" TargetMode="External"/><Relationship Id="rId1" Type="http://schemas.openxmlformats.org/officeDocument/2006/relationships/hyperlink" Target="https://static.strengthlevel.com/images/exercises/hip-adduction/hip-adduction-800.jpg" TargetMode="External"/><Relationship Id="rId2" Type="http://schemas.openxmlformats.org/officeDocument/2006/relationships/hyperlink" Target="https://static.strengthlevel.com/images/exercises/lying-leg-curl/lying-leg-curl-800.jpg" TargetMode="External"/><Relationship Id="rId3" Type="http://schemas.openxmlformats.org/officeDocument/2006/relationships/hyperlink" Target="https://cdn.shopify.com/s/files/1/0269/5551/3900/files/Leg-Extension_41d91d3f-4b9c-4374-82e2-1d697ce35fe4_600x600.png?v=1612138862" TargetMode="External"/><Relationship Id="rId4" Type="http://schemas.openxmlformats.org/officeDocument/2006/relationships/hyperlink" Target="https://encrypted-tbn0.gstatic.com/images?q=tbn:ANd9GcQ5qdjx0nc6T2iF8zJHl4-CUHuba8ap6eEzig&amp;s" TargetMode="External"/><Relationship Id="rId9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26" Type="http://schemas.openxmlformats.org/officeDocument/2006/relationships/hyperlink" Target="https://encrypted-tbn0.gstatic.com/images?q=tbn:ANd9GcQrYtvTlTxUmQk71CwkC3bXeZ4v-PvELKy64w&amp;s" TargetMode="External"/><Relationship Id="rId25" Type="http://schemas.openxmlformats.org/officeDocument/2006/relationships/hyperlink" Target="https://www.technogym.com/es-ES/feed/images/MG6500-NBGJV0/pure-leg-extension-plp_2.jpg" TargetMode="External"/><Relationship Id="rId27" Type="http://schemas.openxmlformats.org/officeDocument/2006/relationships/drawing" Target="../drawings/drawing6.xml"/><Relationship Id="rId5" Type="http://schemas.openxmlformats.org/officeDocument/2006/relationships/hyperlink" Target="https://images.ctfassets.net/ipjoepkmtnha/2rIzLe2NS5ewNmQFK5lgVq/012babea783e264d0e10e0a5aa85c2aa/pure_hack_squat_mainfeature01.jpg" TargetMode="External"/><Relationship Id="rId6" Type="http://schemas.openxmlformats.org/officeDocument/2006/relationships/hyperlink" Target="https://www.entrenamientos.com/media/cache/exercise_375/uploads/exercise/extension-de-gemelos-en-maquina-de-prensa-horizontal-init-pos-1219.png" TargetMode="External"/><Relationship Id="rId7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8" Type="http://schemas.openxmlformats.org/officeDocument/2006/relationships/hyperlink" Target="https://k2usa.es/wp-content/uploads/2019/11/Technogym-Pure-Strength-Wide-Chest-Press-Used-600x600.jpg.webp" TargetMode="External"/><Relationship Id="rId11" Type="http://schemas.openxmlformats.org/officeDocument/2006/relationships/hyperlink" Target="https://cdn.shopify.com/s/files/1/0269/5551/3900/files/Cable-One-Arm-Lateral-Raise_3e57189f-cdf3-46ee-9a89-6ca054eae56a_600x600.png?v=1612138775" TargetMode="External"/><Relationship Id="rId10" Type="http://schemas.openxmlformats.org/officeDocument/2006/relationships/hyperlink" Target="https://cdn.shopify.com/s/files/1/0269/5551/3900/files/Cable-Crossover_09c90616-2777-47ed-927e-d5987edfce09_600x600.png?v=1612138036" TargetMode="External"/><Relationship Id="rId13" Type="http://schemas.openxmlformats.org/officeDocument/2006/relationships/hyperlink" Target="https://eresfitness.com/wp-content/uploads/30391105-Cable-Alternate-Triceps-Extension-female_Upper-Arms_max.webp" TargetMode="External"/><Relationship Id="rId12" Type="http://schemas.openxmlformats.org/officeDocument/2006/relationships/hyperlink" Target="https://cdn.shopify.com/s/files/1/0269/5551/3900/files/Triceps-Pressdown_e759437b-6200-4b44-b484-14db770024a4_600x600.png?v=1612136845" TargetMode="External"/><Relationship Id="rId15" Type="http://schemas.openxmlformats.org/officeDocument/2006/relationships/hyperlink" Target="https://i.ytimg.com/vi/W_qmTlSkQtE/maxresdefault.jpg" TargetMode="External"/><Relationship Id="rId14" Type="http://schemas.openxmlformats.org/officeDocument/2006/relationships/hyperlink" Target="https://static.vecteezy.com/system/resources/previews/006/417/623/non_2x/man-doing-dumbbell-bicep-hammer-curls-flat-illustration-isolated-on-different-layer-workout-character-free-vector.jpg" TargetMode="External"/><Relationship Id="rId17" Type="http://schemas.openxmlformats.org/officeDocument/2006/relationships/hyperlink" Target="https://www.technogym.com/es-ES/feed/images/MG2500-NBGJV0/pure-low-row-plp.jpg" TargetMode="External"/><Relationship Id="rId16" Type="http://schemas.openxmlformats.org/officeDocument/2006/relationships/hyperlink" Target="https://alvarobuenoworkout.com/wp-content/uploads/2024/10/Remo-Gironda.png" TargetMode="External"/><Relationship Id="rId19" Type="http://schemas.openxmlformats.org/officeDocument/2006/relationships/hyperlink" Target="https://fitwill.app/api/image/3100?p=1&amp;w=1024&amp;h=576" TargetMode="External"/><Relationship Id="rId18" Type="http://schemas.openxmlformats.org/officeDocument/2006/relationships/hyperlink" Target="https://i.ytimg.com/vi/Ie103U-VtCc/hq720_2.jpg?sqp=-oaymwE7CK4FEIIDSFryq4qpAy0IARUAAAAAGAAlAADIQj0AgKJD8AEB-AG2CIACgA-KAgwIABABGEYgVChlMA8=&amp;rs=AOn4CLDbrPhuea3dKf1NZoXWeuTQSxA_ow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strengthlevel.com/images/exercises/hip-adduction/hip-adduction-800.jpg" TargetMode="External"/><Relationship Id="rId2" Type="http://schemas.openxmlformats.org/officeDocument/2006/relationships/hyperlink" Target="https://www.entrenamientos.com/media/cache/exercise_375/uploads/exercise/curl-femoral-a-una-pierna-con-maquina-de-pie-init-pos-5883.png" TargetMode="External"/><Relationship Id="rId3" Type="http://schemas.openxmlformats.org/officeDocument/2006/relationships/hyperlink" Target="https://cdn.shopify.com/s/files/1/0425/7667/4983/files/2_c9560585-c10c-48ec-a77a-d07a5d1bb3a4.png?v=1706627009" TargetMode="External"/><Relationship Id="rId4" Type="http://schemas.openxmlformats.org/officeDocument/2006/relationships/hyperlink" Target="https://shop.lifefitness.com/cdn/shop/files/plate-loaded-linear-leg-press-charcoalframe-blackuph_1000x1000_5c4d5373-804c-4c7c-9f66-9abcfbde43b8_1200x1200.jpg?v=1724685184" TargetMode="External"/><Relationship Id="rId9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5" Type="http://schemas.openxmlformats.org/officeDocument/2006/relationships/hyperlink" Target="https://www.technogym.com/es-ES/feed/images/MG6500-NBGJV0/pure-leg-extension-plp_2.jpg" TargetMode="External"/><Relationship Id="rId6" Type="http://schemas.openxmlformats.org/officeDocument/2006/relationships/hyperlink" Target="https://encrypted-tbn0.gstatic.com/images?q=tbn:ANd9GcQrYtvTlTxUmQk71CwkC3bXeZ4v-PvELKy64w&amp;s" TargetMode="External"/><Relationship Id="rId7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8" Type="http://schemas.openxmlformats.org/officeDocument/2006/relationships/hyperlink" Target="https://k2usa.es/wp-content/uploads/2019/11/Technogym-Pure-Strength-Wide-Chest-Press-Used-600x600.jpg.webp" TargetMode="External"/><Relationship Id="rId11" Type="http://schemas.openxmlformats.org/officeDocument/2006/relationships/hyperlink" Target="https://cdn.shopify.com/s/files/1/0269/5551/3900/files/Cable-One-Arm-Lateral-Raise_3e57189f-cdf3-46ee-9a89-6ca054eae56a_600x600.png?v=1612138775" TargetMode="External"/><Relationship Id="rId10" Type="http://schemas.openxmlformats.org/officeDocument/2006/relationships/hyperlink" Target="https://cdn.shopify.com/s/files/1/0269/5551/3900/files/Cable-Crossover_09c90616-2777-47ed-927e-d5987edfce09_600x600.png?v=1612138036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cdn.shopify.com/s/files/1/0269/5551/3900/files/Triceps-Pressdown_e759437b-6200-4b44-b484-14db770024a4_600x600.png?v=1612136845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tatic.strengthlevel.com/images/exercises/hip-adduction/hip-adduction-800.jpg" TargetMode="External"/><Relationship Id="rId2" Type="http://schemas.openxmlformats.org/officeDocument/2006/relationships/hyperlink" Target="https://www.entrenamientos.com/media/cache/exercise_375/uploads/exercise/curl-femoral-a-una-pierna-con-maquina-de-pie-init-pos-5883.png" TargetMode="External"/><Relationship Id="rId3" Type="http://schemas.openxmlformats.org/officeDocument/2006/relationships/hyperlink" Target="https://cdn.shopify.com/s/files/1/0425/7667/4983/files/2_c9560585-c10c-48ec-a77a-d07a5d1bb3a4.png?v=1706627009" TargetMode="External"/><Relationship Id="rId4" Type="http://schemas.openxmlformats.org/officeDocument/2006/relationships/hyperlink" Target="https://shop.lifefitness.com/cdn/shop/files/plate-loaded-linear-leg-press-charcoalframe-blackuph_1000x1000_5c4d5373-804c-4c7c-9f66-9abcfbde43b8_1200x1200.jpg?v=1724685184" TargetMode="External"/><Relationship Id="rId9" Type="http://schemas.openxmlformats.org/officeDocument/2006/relationships/hyperlink" Target="https://cdn.shopify.com/s/files/1/0269/5551/3900/files/Incline-Dumbbell-Bench-Press_c2bf89a2-433f-4a8f-9801-67c679980867_600x600.png?v=1612138008" TargetMode="External"/><Relationship Id="rId5" Type="http://schemas.openxmlformats.org/officeDocument/2006/relationships/hyperlink" Target="https://www.technogym.com/es-ES/feed/images/MG6500-NBGJV0/pure-leg-extension-plp_2.jpg" TargetMode="External"/><Relationship Id="rId6" Type="http://schemas.openxmlformats.org/officeDocument/2006/relationships/hyperlink" Target="https://encrypted-tbn0.gstatic.com/images?q=tbn:ANd9GcQrYtvTlTxUmQk71CwkC3bXeZ4v-PvELKy64w&amp;s" TargetMode="External"/><Relationship Id="rId7" Type="http://schemas.openxmlformats.org/officeDocument/2006/relationships/hyperlink" Target="https://cdn.shopify.com/s/files/1/0269/5551/3900/files/Dumbbell-Lateral-Raise_31c81eee-81c4-4ffe-890d-ee13dd5bbf20_600x600.png?v=1612138523" TargetMode="External"/><Relationship Id="rId8" Type="http://schemas.openxmlformats.org/officeDocument/2006/relationships/hyperlink" Target="https://k2usa.es/wp-content/uploads/2019/11/Technogym-Pure-Strength-Wide-Chest-Press-Used-600x600.jpg.webp" TargetMode="External"/><Relationship Id="rId11" Type="http://schemas.openxmlformats.org/officeDocument/2006/relationships/hyperlink" Target="https://cdn.shopify.com/s/files/1/0269/5551/3900/files/Cable-One-Arm-Lateral-Raise_3e57189f-cdf3-46ee-9a89-6ca054eae56a_600x600.png?v=1612138775" TargetMode="External"/><Relationship Id="rId10" Type="http://schemas.openxmlformats.org/officeDocument/2006/relationships/hyperlink" Target="https://cdn.shopify.com/s/files/1/0269/5551/3900/files/Cable-Crossover_09c90616-2777-47ed-927e-d5987edfce09_600x600.png?v=1612138036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cdn.shopify.com/s/files/1/0269/5551/3900/files/Triceps-Pressdown_e759437b-6200-4b44-b484-14db770024a4_600x600.png?v=1612136845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75"/>
  <cols>
    <col customWidth="1" min="1" max="2" width="7.75"/>
    <col customWidth="1" min="3" max="3" width="9.0"/>
    <col customWidth="1" min="4" max="4" width="10.38"/>
    <col customWidth="1" min="5" max="23" width="7.75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3"/>
    </row>
    <row r="2" ht="15.0" customHeight="1">
      <c r="A2" s="4" t="s">
        <v>0</v>
      </c>
      <c r="M2" s="5"/>
      <c r="N2" s="6"/>
      <c r="O2" s="6"/>
      <c r="P2" s="6"/>
      <c r="Q2" s="6"/>
      <c r="R2" s="6"/>
      <c r="S2" s="6"/>
      <c r="T2" s="6"/>
      <c r="U2" s="6"/>
      <c r="V2" s="6"/>
      <c r="W2" s="7"/>
    </row>
    <row r="3" ht="15.0" customHeight="1">
      <c r="A3" s="8"/>
      <c r="M3" s="5"/>
      <c r="N3" s="6"/>
      <c r="O3" s="6"/>
      <c r="P3" s="6"/>
      <c r="Q3" s="6"/>
      <c r="R3" s="6"/>
      <c r="S3" s="6"/>
      <c r="T3" s="6"/>
      <c r="U3" s="6"/>
      <c r="V3" s="6"/>
      <c r="W3" s="7"/>
    </row>
    <row r="4" ht="15.0" customHeight="1">
      <c r="A4" s="8"/>
      <c r="M4" s="5"/>
      <c r="N4" s="6"/>
      <c r="O4" s="6"/>
      <c r="P4" s="6"/>
      <c r="Q4" s="6"/>
      <c r="R4" s="6"/>
      <c r="S4" s="6"/>
      <c r="T4" s="6"/>
      <c r="U4" s="6"/>
      <c r="V4" s="6"/>
      <c r="W4" s="7"/>
    </row>
    <row r="5" ht="15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  <c r="N5" s="6"/>
      <c r="O5" s="6"/>
      <c r="P5" s="6"/>
      <c r="Q5" s="6"/>
      <c r="R5" s="6"/>
      <c r="S5" s="6"/>
      <c r="T5" s="6"/>
      <c r="U5" s="6"/>
      <c r="V5" s="6"/>
      <c r="W5" s="7"/>
    </row>
    <row r="6" ht="15.0" customHeight="1">
      <c r="A6" s="12" t="s">
        <v>1</v>
      </c>
      <c r="N6" s="6"/>
      <c r="O6" s="6"/>
      <c r="P6" s="6"/>
      <c r="Q6" s="6"/>
      <c r="R6" s="6"/>
      <c r="S6" s="6"/>
      <c r="T6" s="6"/>
      <c r="U6" s="6"/>
      <c r="V6" s="6"/>
      <c r="W6" s="7"/>
    </row>
    <row r="7" ht="15.0" customHeight="1">
      <c r="A7" s="8"/>
      <c r="N7" s="6"/>
      <c r="O7" s="6"/>
      <c r="P7" s="6"/>
      <c r="Q7" s="6"/>
      <c r="R7" s="6"/>
      <c r="S7" s="6"/>
      <c r="T7" s="6"/>
      <c r="U7" s="6"/>
      <c r="V7" s="6"/>
      <c r="W7" s="7"/>
    </row>
    <row r="8" ht="15.0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3"/>
      <c r="O8" s="13"/>
      <c r="P8" s="13"/>
      <c r="Q8" s="13"/>
      <c r="R8" s="13"/>
      <c r="S8" s="13"/>
      <c r="T8" s="13"/>
      <c r="U8" s="13"/>
      <c r="V8" s="13"/>
      <c r="W8" s="14"/>
    </row>
    <row r="9" ht="45.0" customHeight="1">
      <c r="A9" s="15" t="s">
        <v>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16"/>
      <c r="O9" s="16"/>
      <c r="P9" s="16"/>
      <c r="Q9" s="16"/>
      <c r="R9" s="16"/>
      <c r="S9" s="16"/>
      <c r="T9" s="16"/>
      <c r="U9" s="16"/>
      <c r="V9" s="16"/>
      <c r="W9" s="17"/>
    </row>
    <row r="10" ht="87.75" customHeight="1">
      <c r="A10" s="18" t="s">
        <v>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"/>
      <c r="O10" s="1"/>
      <c r="P10" s="1"/>
      <c r="Q10" s="1"/>
      <c r="R10" s="1"/>
      <c r="S10" s="1"/>
      <c r="T10" s="1"/>
      <c r="U10" s="1"/>
      <c r="V10" s="1"/>
      <c r="W10" s="19"/>
    </row>
    <row r="11" ht="45.0" customHeight="1">
      <c r="A11" s="20" t="s">
        <v>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ht="53.25" customHeight="1">
      <c r="A12" s="18" t="s">
        <v>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ht="45.0" customHeight="1">
      <c r="A13" s="21" t="s">
        <v>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3"/>
    </row>
    <row r="14" ht="33.0" customHeight="1">
      <c r="A14" s="24" t="s">
        <v>7</v>
      </c>
      <c r="C14" s="25"/>
      <c r="D14" s="26" t="s">
        <v>8</v>
      </c>
      <c r="W14" s="25"/>
    </row>
    <row r="15" ht="24.0" customHeight="1">
      <c r="A15" s="27"/>
      <c r="B15" s="22"/>
      <c r="C15" s="2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8"/>
    </row>
    <row r="16" ht="38.25" customHeight="1">
      <c r="A16" s="24" t="s">
        <v>9</v>
      </c>
      <c r="C16" s="25"/>
      <c r="D16" s="29" t="s">
        <v>10</v>
      </c>
      <c r="W16" s="25"/>
    </row>
    <row r="17" ht="36.0" customHeight="1">
      <c r="A17" s="27"/>
      <c r="B17" s="22"/>
      <c r="C17" s="2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8"/>
    </row>
    <row r="18" ht="24.0" customHeight="1">
      <c r="A18" s="24" t="s">
        <v>11</v>
      </c>
      <c r="C18" s="25"/>
      <c r="D18" s="26" t="s">
        <v>12</v>
      </c>
      <c r="W18" s="25"/>
    </row>
    <row r="19" ht="39.0" customHeight="1">
      <c r="A19" s="27"/>
      <c r="B19" s="22"/>
      <c r="C19" s="2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8"/>
    </row>
    <row r="20" ht="33.0" customHeight="1">
      <c r="A20" s="24" t="s">
        <v>13</v>
      </c>
      <c r="C20" s="25"/>
      <c r="D20" s="29" t="s">
        <v>14</v>
      </c>
      <c r="W20" s="25"/>
    </row>
    <row r="21" ht="42.75" customHeight="1">
      <c r="A21" s="27"/>
      <c r="B21" s="22"/>
      <c r="C21" s="2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8"/>
    </row>
    <row r="22" ht="38.25" customHeight="1">
      <c r="A22" s="24" t="s">
        <v>15</v>
      </c>
      <c r="C22" s="25"/>
      <c r="D22" s="30" t="s">
        <v>16</v>
      </c>
      <c r="W22" s="25"/>
    </row>
    <row r="23" ht="34.5" customHeight="1">
      <c r="A23" s="27"/>
      <c r="B23" s="22"/>
      <c r="C23" s="2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8"/>
    </row>
    <row r="24" ht="41.25" customHeight="1">
      <c r="A24" s="24" t="s">
        <v>17</v>
      </c>
      <c r="C24" s="25"/>
      <c r="D24" s="30" t="s">
        <v>18</v>
      </c>
      <c r="W24" s="25"/>
    </row>
    <row r="25" ht="41.25" customHeight="1">
      <c r="A25" s="27"/>
      <c r="B25" s="22"/>
      <c r="C25" s="2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8"/>
    </row>
    <row r="26" ht="33.75" customHeight="1">
      <c r="A26" s="24" t="s">
        <v>19</v>
      </c>
      <c r="C26" s="25"/>
      <c r="D26" s="30" t="s">
        <v>20</v>
      </c>
      <c r="W26" s="25"/>
    </row>
    <row r="27" ht="33.75" customHeight="1">
      <c r="A27" s="27"/>
      <c r="B27" s="22"/>
      <c r="C27" s="2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8"/>
    </row>
    <row r="28" ht="35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ht="27.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ht="33.0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ht="33.0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ht="30.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39.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39.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42.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30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30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30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30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30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30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30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30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30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ht="30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ht="30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ht="30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ht="30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ht="30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ht="30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ht="14.2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ht="14.2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ht="14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ht="14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ht="14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ht="14.2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ht="14.2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ht="14.2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ht="14.2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ht="14.2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ht="14.2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ht="14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ht="14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ht="14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ht="14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ht="14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ht="14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ht="14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</row>
    <row r="211" ht="14.2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</row>
    <row r="212" ht="14.2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</row>
    <row r="213" ht="14.2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</row>
    <row r="214" ht="14.2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</row>
    <row r="215" ht="14.2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</row>
    <row r="216" ht="14.2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</row>
    <row r="217" ht="14.2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</row>
    <row r="218" ht="14.2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</row>
    <row r="219" ht="14.2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</row>
    <row r="220" ht="14.2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</row>
    <row r="221" ht="14.2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</row>
    <row r="222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</row>
    <row r="223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</row>
    <row r="224" ht="14.2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</row>
    <row r="225" ht="14.2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</row>
    <row r="226" ht="14.2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</row>
    <row r="227" ht="14.2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</row>
    <row r="228" ht="14.2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</row>
    <row r="229" ht="14.2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</row>
    <row r="230" ht="14.2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</row>
    <row r="231" ht="14.2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</row>
    <row r="232" ht="14.2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</row>
    <row r="233" ht="14.2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</row>
    <row r="234" ht="14.2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</row>
    <row r="235" ht="14.2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</row>
    <row r="236" ht="14.2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</row>
    <row r="237" ht="14.2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</row>
    <row r="238" ht="14.2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</row>
    <row r="239" ht="14.2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</row>
    <row r="240" ht="14.2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</row>
    <row r="241" ht="14.2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</row>
    <row r="242" ht="14.2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</row>
    <row r="243" ht="14.2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</row>
    <row r="244" ht="14.2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</row>
    <row r="245" ht="14.2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</row>
    <row r="246" ht="14.2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</row>
    <row r="247" ht="14.2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</row>
    <row r="248" ht="14.2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</row>
    <row r="249" ht="14.2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</row>
    <row r="250" ht="14.2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</row>
    <row r="251" ht="14.2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</row>
    <row r="252" ht="14.2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</row>
    <row r="253" ht="14.2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ht="14.2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ht="14.2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ht="14.2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ht="14.2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ht="14.2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ht="14.2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ht="14.2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ht="14.2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ht="14.2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ht="14.2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ht="14.2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ht="14.2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ht="14.2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ht="14.2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ht="14.2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ht="14.2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ht="14.2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ht="14.2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ht="14.2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ht="14.2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ht="14.2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ht="14.2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ht="14.2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ht="14.2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ht="14.2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ht="14.2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ht="14.2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ht="14.2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ht="14.2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ht="14.2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ht="14.2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ht="14.2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ht="14.2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ht="14.2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ht="14.2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ht="14.2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ht="14.2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ht="14.2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ht="14.2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ht="14.2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ht="14.2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ht="14.2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ht="14.2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ht="14.2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ht="14.2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ht="14.2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ht="14.2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ht="14.2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ht="14.2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ht="14.2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ht="14.2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ht="14.2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ht="14.2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ht="14.2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ht="14.2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ht="14.2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ht="14.2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ht="14.2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ht="14.2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ht="14.2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ht="14.2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ht="14.2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ht="14.2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ht="14.2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ht="14.2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ht="14.2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ht="14.2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ht="14.2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ht="14.2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ht="14.2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ht="14.2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ht="14.2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ht="14.2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ht="14.2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ht="14.2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ht="14.2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ht="14.2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ht="14.2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ht="14.2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ht="14.2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ht="14.2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ht="14.2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ht="14.2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ht="14.2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ht="14.2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ht="14.2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ht="14.2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ht="14.2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ht="14.2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ht="14.2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ht="14.2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ht="14.2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ht="14.2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ht="14.2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ht="14.2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ht="14.2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ht="14.2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ht="14.2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</row>
    <row r="657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</row>
    <row r="658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</row>
    <row r="659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</row>
    <row r="660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</row>
    <row r="661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</row>
    <row r="662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</row>
    <row r="663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</row>
    <row r="664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</row>
    <row r="665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</row>
    <row r="66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</row>
    <row r="667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</row>
    <row r="668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</row>
    <row r="669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</row>
    <row r="670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</row>
    <row r="671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</row>
    <row r="672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</row>
    <row r="673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</row>
    <row r="674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</row>
    <row r="675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</row>
    <row r="67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</row>
    <row r="677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</row>
    <row r="678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</row>
    <row r="679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</row>
    <row r="680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</row>
    <row r="681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</row>
    <row r="682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</row>
    <row r="683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</row>
    <row r="684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</row>
    <row r="685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</row>
    <row r="68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</row>
    <row r="687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</row>
    <row r="688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</row>
    <row r="689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</row>
    <row r="690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</row>
    <row r="691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</row>
    <row r="692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</row>
    <row r="693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</row>
    <row r="694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</row>
    <row r="695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</row>
    <row r="69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</row>
    <row r="697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</row>
    <row r="698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</row>
    <row r="699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</row>
    <row r="700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</row>
    <row r="701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</row>
    <row r="702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</row>
    <row r="703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</row>
    <row r="704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</row>
    <row r="705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</row>
    <row r="70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</row>
    <row r="707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</row>
    <row r="708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</row>
    <row r="709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</row>
    <row r="710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</row>
    <row r="711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</row>
    <row r="712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</row>
    <row r="713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</row>
    <row r="714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</row>
    <row r="715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</row>
    <row r="71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</row>
    <row r="717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</row>
    <row r="718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</row>
    <row r="719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</row>
    <row r="720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</row>
    <row r="721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</row>
    <row r="722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</row>
    <row r="723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</row>
    <row r="724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</row>
    <row r="725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</row>
    <row r="7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</row>
    <row r="727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</row>
    <row r="728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</row>
    <row r="729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</row>
    <row r="730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</row>
    <row r="731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</row>
    <row r="732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</row>
    <row r="733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</row>
    <row r="734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</row>
    <row r="735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</row>
    <row r="73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</row>
    <row r="737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</row>
    <row r="738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</row>
    <row r="739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</row>
    <row r="740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</row>
    <row r="741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</row>
    <row r="742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</row>
    <row r="743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</row>
    <row r="744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</row>
    <row r="745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</row>
    <row r="74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</row>
    <row r="747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</row>
    <row r="748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</row>
    <row r="749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</row>
    <row r="750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</row>
    <row r="751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</row>
    <row r="752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</row>
    <row r="753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</row>
    <row r="754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</row>
    <row r="755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</row>
    <row r="75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</row>
    <row r="757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</row>
    <row r="758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</row>
    <row r="759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</row>
    <row r="760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</row>
    <row r="761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</row>
    <row r="762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</row>
    <row r="763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</row>
    <row r="764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</row>
    <row r="765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</row>
    <row r="76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</row>
    <row r="767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</row>
    <row r="768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</row>
    <row r="769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</row>
    <row r="770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</row>
    <row r="771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</row>
    <row r="772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</row>
    <row r="773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</row>
    <row r="774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</row>
    <row r="775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</row>
    <row r="77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</row>
    <row r="777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</row>
    <row r="778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</row>
    <row r="779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</row>
    <row r="780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</row>
    <row r="781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</row>
    <row r="782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</row>
    <row r="783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</row>
    <row r="784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</row>
    <row r="785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</row>
    <row r="78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</row>
    <row r="787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</row>
    <row r="788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</row>
    <row r="789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</row>
    <row r="790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</row>
    <row r="791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</row>
    <row r="792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</row>
    <row r="793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</row>
    <row r="794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</row>
    <row r="795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</row>
    <row r="79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</row>
    <row r="797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</row>
    <row r="798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</row>
    <row r="799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</row>
    <row r="800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</row>
    <row r="801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</row>
    <row r="802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</row>
    <row r="803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</row>
    <row r="804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</row>
    <row r="805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</row>
    <row r="80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</row>
    <row r="807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</row>
    <row r="808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</row>
    <row r="809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</row>
    <row r="810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</row>
    <row r="811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</row>
    <row r="812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</row>
    <row r="813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</row>
    <row r="814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</row>
    <row r="815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</row>
    <row r="81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</row>
    <row r="817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</row>
    <row r="818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</row>
    <row r="819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</row>
    <row r="820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</row>
    <row r="821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</row>
    <row r="822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</row>
    <row r="823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</row>
    <row r="824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</row>
    <row r="825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</row>
    <row r="8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</row>
    <row r="827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</row>
    <row r="828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</row>
    <row r="829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</row>
    <row r="830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</row>
    <row r="831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</row>
    <row r="832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</row>
    <row r="833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</row>
    <row r="834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</row>
    <row r="835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</row>
    <row r="83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</row>
    <row r="837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</row>
    <row r="838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</row>
    <row r="839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</row>
    <row r="840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</row>
    <row r="841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</row>
    <row r="842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</row>
    <row r="843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</row>
    <row r="844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</row>
    <row r="845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</row>
    <row r="84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</row>
    <row r="847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</row>
    <row r="848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</row>
    <row r="849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</row>
    <row r="850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</row>
    <row r="851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</row>
    <row r="852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</row>
    <row r="853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</row>
    <row r="854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</row>
    <row r="855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</row>
    <row r="85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</row>
    <row r="857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</row>
    <row r="858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</row>
    <row r="859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</row>
    <row r="860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</row>
    <row r="861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</row>
    <row r="862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</row>
    <row r="863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</row>
    <row r="864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</row>
    <row r="865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</row>
    <row r="86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</row>
    <row r="867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</row>
    <row r="868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</row>
    <row r="869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</row>
    <row r="870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</row>
    <row r="871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</row>
    <row r="872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</row>
    <row r="873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</row>
    <row r="874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</row>
    <row r="875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</row>
    <row r="87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</row>
    <row r="877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</row>
    <row r="878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</row>
    <row r="879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</row>
    <row r="880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</row>
    <row r="881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</row>
    <row r="882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</row>
    <row r="883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</row>
    <row r="884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</row>
    <row r="885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</row>
    <row r="88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</row>
    <row r="887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</row>
    <row r="888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</row>
    <row r="889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</row>
    <row r="890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</row>
    <row r="891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</row>
    <row r="892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</row>
    <row r="893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</row>
    <row r="894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</row>
    <row r="895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</row>
    <row r="89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</row>
    <row r="897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</row>
    <row r="898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</row>
    <row r="899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</row>
    <row r="900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</row>
    <row r="901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</row>
    <row r="902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</row>
    <row r="903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</row>
    <row r="904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</row>
    <row r="905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</row>
    <row r="90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</row>
    <row r="907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</row>
    <row r="908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</row>
    <row r="909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</row>
    <row r="910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</row>
    <row r="911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</row>
    <row r="912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</row>
    <row r="913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</row>
    <row r="914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</row>
    <row r="915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</row>
    <row r="91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</row>
    <row r="917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</row>
    <row r="918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</row>
    <row r="919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</row>
    <row r="920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</row>
    <row r="921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</row>
    <row r="922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</row>
    <row r="923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</row>
    <row r="924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</row>
    <row r="925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</row>
    <row r="9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</row>
    <row r="927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</row>
    <row r="928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</row>
    <row r="929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</row>
    <row r="930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</row>
    <row r="931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</row>
    <row r="932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</row>
    <row r="933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</row>
    <row r="934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</row>
    <row r="935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</row>
    <row r="93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</row>
    <row r="937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</row>
    <row r="938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</row>
    <row r="939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</row>
    <row r="940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</row>
    <row r="941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</row>
    <row r="942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</row>
    <row r="943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</row>
    <row r="944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</row>
    <row r="945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</row>
    <row r="94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</row>
    <row r="947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</row>
    <row r="948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</row>
    <row r="949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</row>
    <row r="950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</row>
    <row r="951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</row>
    <row r="952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</row>
    <row r="953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</row>
    <row r="954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</row>
    <row r="955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</row>
    <row r="95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</row>
    <row r="957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</row>
    <row r="958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</row>
    <row r="959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</row>
    <row r="960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</row>
    <row r="961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</row>
    <row r="962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</row>
    <row r="963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</row>
    <row r="964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</row>
    <row r="965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</row>
    <row r="96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</row>
    <row r="967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</row>
    <row r="968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</row>
    <row r="969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</row>
    <row r="970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</row>
    <row r="971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</row>
    <row r="972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</row>
    <row r="973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</row>
    <row r="974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</row>
    <row r="975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</row>
    <row r="97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</row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21">
    <mergeCell ref="A2:M5"/>
    <mergeCell ref="A6:M8"/>
    <mergeCell ref="A9:M9"/>
    <mergeCell ref="A10:M10"/>
    <mergeCell ref="A11:W11"/>
    <mergeCell ref="A12:W12"/>
    <mergeCell ref="A13:W13"/>
    <mergeCell ref="A20:C21"/>
    <mergeCell ref="A22:C23"/>
    <mergeCell ref="A24:C25"/>
    <mergeCell ref="A26:C27"/>
    <mergeCell ref="D22:W23"/>
    <mergeCell ref="D24:W25"/>
    <mergeCell ref="D26:W27"/>
    <mergeCell ref="A14:C15"/>
    <mergeCell ref="D14:W15"/>
    <mergeCell ref="A16:C17"/>
    <mergeCell ref="D16:W17"/>
    <mergeCell ref="A18:C19"/>
    <mergeCell ref="D18:W19"/>
    <mergeCell ref="D20:W21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5"/>
      <c r="B1" s="36"/>
      <c r="C1" s="36"/>
      <c r="D1" s="36"/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8"/>
      <c r="X1" s="38"/>
      <c r="Y1" s="37"/>
      <c r="Z1" s="37"/>
    </row>
    <row r="2">
      <c r="A2" s="35"/>
      <c r="B2" s="36"/>
      <c r="C2" s="36"/>
      <c r="D2" s="36"/>
      <c r="E2" s="36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8"/>
      <c r="W2" s="38"/>
      <c r="X2" s="38"/>
      <c r="Y2" s="37"/>
      <c r="Z2" s="37"/>
    </row>
    <row r="3">
      <c r="A3" s="38"/>
      <c r="B3" s="38"/>
      <c r="C3" s="37"/>
      <c r="D3" s="37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7"/>
      <c r="Z3" s="37"/>
    </row>
    <row r="4">
      <c r="A4" s="38"/>
      <c r="B4" s="39" t="s">
        <v>21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1"/>
      <c r="R4" s="37"/>
      <c r="S4" s="37"/>
      <c r="T4" s="37"/>
      <c r="U4" s="37"/>
      <c r="V4" s="37"/>
      <c r="W4" s="37"/>
      <c r="X4" s="37"/>
      <c r="Y4" s="37"/>
      <c r="Z4" s="37"/>
    </row>
    <row r="5">
      <c r="A5" s="38"/>
      <c r="B5" s="42"/>
      <c r="Q5" s="43"/>
      <c r="R5" s="37"/>
      <c r="S5" s="37"/>
      <c r="T5" s="37"/>
      <c r="U5" s="37"/>
      <c r="V5" s="37"/>
      <c r="W5" s="37"/>
      <c r="X5" s="37"/>
      <c r="Y5" s="37"/>
      <c r="Z5" s="37"/>
    </row>
    <row r="6">
      <c r="A6" s="38"/>
      <c r="B6" s="42"/>
      <c r="Q6" s="43"/>
      <c r="R6" s="37"/>
      <c r="S6" s="37"/>
      <c r="T6" s="37"/>
      <c r="U6" s="37"/>
      <c r="V6" s="37"/>
      <c r="W6" s="37"/>
      <c r="X6" s="37"/>
      <c r="Y6" s="37"/>
      <c r="Z6" s="37"/>
    </row>
    <row r="7">
      <c r="A7" s="38"/>
      <c r="B7" s="42"/>
      <c r="Q7" s="43"/>
      <c r="R7" s="37"/>
      <c r="S7" s="37"/>
      <c r="T7" s="37"/>
      <c r="U7" s="37"/>
      <c r="V7" s="37"/>
      <c r="W7" s="37"/>
      <c r="X7" s="37"/>
      <c r="Y7" s="37"/>
      <c r="Z7" s="37"/>
    </row>
    <row r="8">
      <c r="A8" s="38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6"/>
      <c r="R8" s="37"/>
      <c r="S8" s="37"/>
      <c r="T8" s="37"/>
      <c r="U8" s="37"/>
      <c r="V8" s="37"/>
      <c r="W8" s="37"/>
      <c r="X8" s="37"/>
      <c r="Y8" s="37"/>
      <c r="Z8" s="37"/>
    </row>
    <row r="9">
      <c r="A9" s="38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8"/>
      <c r="B11" s="38"/>
      <c r="C11" s="37"/>
      <c r="D11" s="47" t="s">
        <v>22</v>
      </c>
      <c r="E11" s="40"/>
      <c r="F11" s="41"/>
      <c r="G11" s="48"/>
      <c r="H11" s="47" t="s">
        <v>23</v>
      </c>
      <c r="I11" s="41"/>
      <c r="J11" s="48"/>
      <c r="K11" s="49" t="s">
        <v>24</v>
      </c>
      <c r="L11" s="41"/>
      <c r="M11" s="48"/>
      <c r="N11" s="49" t="s">
        <v>25</v>
      </c>
      <c r="O11" s="41"/>
      <c r="P11" s="37"/>
      <c r="Q11" s="38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8"/>
      <c r="B12" s="38"/>
      <c r="C12" s="37"/>
      <c r="D12" s="44"/>
      <c r="E12" s="45"/>
      <c r="F12" s="46"/>
      <c r="G12" s="48"/>
      <c r="H12" s="44"/>
      <c r="I12" s="46"/>
      <c r="J12" s="48"/>
      <c r="K12" s="45"/>
      <c r="L12" s="46"/>
      <c r="M12" s="48"/>
      <c r="N12" s="45"/>
      <c r="O12" s="46"/>
      <c r="P12" s="37"/>
      <c r="Q12" s="38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/>
      <c r="B14" s="37"/>
      <c r="C14" s="50" t="s">
        <v>26</v>
      </c>
      <c r="D14" s="51"/>
      <c r="E14" s="52" t="s">
        <v>27</v>
      </c>
      <c r="F14" s="51"/>
      <c r="G14" s="52" t="s">
        <v>28</v>
      </c>
      <c r="H14" s="51"/>
      <c r="I14" s="52" t="s">
        <v>29</v>
      </c>
      <c r="J14" s="51"/>
      <c r="K14" s="52" t="s">
        <v>30</v>
      </c>
      <c r="L14" s="51"/>
      <c r="M14" s="52" t="s">
        <v>31</v>
      </c>
      <c r="N14" s="51"/>
      <c r="O14" s="52" t="s">
        <v>32</v>
      </c>
      <c r="P14" s="53"/>
      <c r="Q14" s="54" t="s">
        <v>26</v>
      </c>
      <c r="R14" s="55"/>
      <c r="S14" s="37"/>
      <c r="T14" s="37"/>
      <c r="U14" s="37"/>
      <c r="V14" s="37"/>
      <c r="W14" s="37"/>
      <c r="X14" s="37"/>
      <c r="Y14" s="37"/>
      <c r="Z14" s="37"/>
    </row>
    <row r="15">
      <c r="A15" s="38"/>
      <c r="B15" s="37"/>
      <c r="C15" s="56" t="s">
        <v>33</v>
      </c>
      <c r="D15" s="57"/>
      <c r="E15" s="58" t="s">
        <v>34</v>
      </c>
      <c r="F15" s="59"/>
      <c r="G15" s="58" t="s">
        <v>35</v>
      </c>
      <c r="H15" s="59"/>
      <c r="I15" s="60" t="s">
        <v>36</v>
      </c>
      <c r="J15" s="59"/>
      <c r="K15" s="61" t="s">
        <v>37</v>
      </c>
      <c r="L15" s="57"/>
      <c r="M15" s="58" t="s">
        <v>38</v>
      </c>
      <c r="N15" s="59"/>
      <c r="O15" s="58" t="s">
        <v>39</v>
      </c>
      <c r="P15" s="59"/>
      <c r="Q15" s="60" t="s">
        <v>36</v>
      </c>
      <c r="R15" s="62"/>
      <c r="S15" s="37"/>
      <c r="T15" s="37"/>
      <c r="U15" s="37"/>
      <c r="V15" s="37"/>
      <c r="W15" s="37"/>
      <c r="X15" s="37"/>
      <c r="Y15" s="37"/>
      <c r="Z15" s="37"/>
    </row>
    <row r="16">
      <c r="A16" s="38"/>
      <c r="B16" s="37"/>
      <c r="C16" s="42"/>
      <c r="D16" s="63"/>
      <c r="E16" s="64"/>
      <c r="F16" s="25"/>
      <c r="G16" s="64"/>
      <c r="H16" s="25"/>
      <c r="I16" s="64"/>
      <c r="J16" s="25"/>
      <c r="L16" s="63"/>
      <c r="M16" s="64"/>
      <c r="N16" s="25"/>
      <c r="O16" s="64"/>
      <c r="P16" s="25"/>
      <c r="Q16" s="64"/>
      <c r="R16" s="43"/>
      <c r="S16" s="37"/>
      <c r="T16" s="37"/>
      <c r="U16" s="37"/>
      <c r="V16" s="37"/>
      <c r="W16" s="37"/>
      <c r="X16" s="37"/>
      <c r="Y16" s="37"/>
      <c r="Z16" s="37"/>
    </row>
    <row r="17">
      <c r="A17" s="38"/>
      <c r="B17" s="37"/>
      <c r="C17" s="42"/>
      <c r="D17" s="63"/>
      <c r="E17" s="64"/>
      <c r="F17" s="25"/>
      <c r="G17" s="64"/>
      <c r="H17" s="25"/>
      <c r="I17" s="64"/>
      <c r="J17" s="25"/>
      <c r="L17" s="63"/>
      <c r="M17" s="64"/>
      <c r="N17" s="25"/>
      <c r="O17" s="64"/>
      <c r="P17" s="25"/>
      <c r="Q17" s="64"/>
      <c r="R17" s="43"/>
      <c r="S17" s="37"/>
      <c r="T17" s="37"/>
      <c r="U17" s="37"/>
      <c r="V17" s="37"/>
      <c r="W17" s="37"/>
      <c r="X17" s="37"/>
      <c r="Y17" s="37"/>
      <c r="Z17" s="37"/>
    </row>
    <row r="18">
      <c r="A18" s="38"/>
      <c r="B18" s="37"/>
      <c r="C18" s="44"/>
      <c r="D18" s="65"/>
      <c r="E18" s="66"/>
      <c r="F18" s="67"/>
      <c r="G18" s="66"/>
      <c r="H18" s="67"/>
      <c r="I18" s="66"/>
      <c r="J18" s="67"/>
      <c r="K18" s="45"/>
      <c r="L18" s="65"/>
      <c r="M18" s="66"/>
      <c r="N18" s="67"/>
      <c r="O18" s="66"/>
      <c r="P18" s="67"/>
      <c r="Q18" s="66"/>
      <c r="R18" s="46"/>
      <c r="S18" s="37"/>
      <c r="T18" s="37"/>
      <c r="U18" s="37"/>
      <c r="V18" s="37"/>
      <c r="W18" s="37"/>
      <c r="X18" s="37"/>
      <c r="Y18" s="37"/>
      <c r="Z18" s="37"/>
    </row>
    <row r="19">
      <c r="A19" s="38"/>
      <c r="B19" s="37"/>
      <c r="C19" s="37"/>
      <c r="D19" s="37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7"/>
      <c r="U19" s="37"/>
      <c r="V19" s="37"/>
      <c r="W19" s="37"/>
      <c r="X19" s="37"/>
      <c r="Y19" s="37"/>
      <c r="Z19" s="37"/>
    </row>
    <row r="20">
      <c r="A20" s="38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38"/>
      <c r="S20" s="38"/>
      <c r="T20" s="37"/>
      <c r="U20" s="37"/>
      <c r="V20" s="37"/>
      <c r="W20" s="37"/>
      <c r="X20" s="37"/>
      <c r="Y20" s="37"/>
      <c r="Z20" s="37"/>
    </row>
    <row r="21">
      <c r="A21" s="38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  <c r="S21" s="38"/>
      <c r="T21" s="68"/>
      <c r="U21" s="37"/>
      <c r="V21" s="37"/>
      <c r="W21" s="37"/>
      <c r="X21" s="37"/>
      <c r="Y21" s="37"/>
      <c r="Z21" s="37"/>
    </row>
    <row r="22">
      <c r="A22" s="38"/>
      <c r="B22" s="37"/>
      <c r="C22" s="69" t="s">
        <v>40</v>
      </c>
      <c r="D22" s="40"/>
      <c r="E22" s="40"/>
      <c r="F22" s="40"/>
      <c r="G22" s="41"/>
      <c r="H22" s="37"/>
      <c r="I22" s="70" t="s">
        <v>41</v>
      </c>
      <c r="J22" s="40"/>
      <c r="K22" s="40"/>
      <c r="L22" s="40"/>
      <c r="M22" s="41"/>
      <c r="N22" s="37"/>
      <c r="O22" s="37"/>
      <c r="P22" s="37"/>
      <c r="Q22" s="37"/>
      <c r="R22" s="38"/>
      <c r="S22" s="38"/>
      <c r="T22" s="38"/>
      <c r="U22" s="38"/>
      <c r="V22" s="38"/>
      <c r="W22" s="37"/>
      <c r="X22" s="37"/>
      <c r="Y22" s="37"/>
      <c r="Z22" s="37"/>
    </row>
    <row r="23">
      <c r="A23" s="38"/>
      <c r="B23" s="37"/>
      <c r="C23" s="44"/>
      <c r="D23" s="45"/>
      <c r="E23" s="45"/>
      <c r="F23" s="45"/>
      <c r="G23" s="46"/>
      <c r="H23" s="37"/>
      <c r="I23" s="44"/>
      <c r="J23" s="45"/>
      <c r="K23" s="45"/>
      <c r="L23" s="45"/>
      <c r="M23" s="46"/>
      <c r="N23" s="37"/>
      <c r="O23" s="37"/>
      <c r="P23" s="37"/>
      <c r="Q23" s="37"/>
      <c r="R23" s="38"/>
      <c r="S23" s="38"/>
      <c r="T23" s="38"/>
      <c r="U23" s="38"/>
      <c r="V23" s="38"/>
      <c r="W23" s="38"/>
      <c r="X23" s="38"/>
      <c r="Y23" s="37"/>
      <c r="Z23" s="37"/>
    </row>
    <row r="24">
      <c r="A24" s="38"/>
      <c r="B24" s="37"/>
      <c r="C24" s="68" t="s">
        <v>42</v>
      </c>
      <c r="D24" s="37"/>
      <c r="E24" s="37"/>
      <c r="F24" s="37"/>
      <c r="G24" s="38"/>
      <c r="H24" s="37"/>
      <c r="I24" s="68" t="s">
        <v>43</v>
      </c>
      <c r="J24" s="37"/>
      <c r="K24" s="37"/>
      <c r="L24" s="37"/>
      <c r="M24" s="37"/>
      <c r="N24" s="37"/>
      <c r="O24" s="37"/>
      <c r="P24" s="37"/>
      <c r="Q24" s="37"/>
      <c r="R24" s="38"/>
      <c r="S24" s="38"/>
      <c r="T24" s="38"/>
      <c r="U24" s="38"/>
      <c r="V24" s="38"/>
      <c r="W24" s="38"/>
      <c r="X24" s="38"/>
      <c r="Y24" s="37"/>
      <c r="Z24" s="37"/>
    </row>
    <row r="25">
      <c r="A25" s="38"/>
      <c r="B25" s="37"/>
      <c r="C25" s="68" t="s">
        <v>44</v>
      </c>
      <c r="D25" s="37"/>
      <c r="E25" s="37"/>
      <c r="F25" s="37"/>
      <c r="G25" s="38"/>
      <c r="H25" s="37"/>
      <c r="I25" s="68" t="s">
        <v>45</v>
      </c>
      <c r="J25" s="37"/>
      <c r="K25" s="37"/>
      <c r="L25" s="37"/>
      <c r="M25" s="37"/>
      <c r="N25" s="37"/>
      <c r="O25" s="37"/>
      <c r="P25" s="37"/>
      <c r="Q25" s="37"/>
      <c r="R25" s="38"/>
      <c r="S25" s="38"/>
      <c r="T25" s="38"/>
      <c r="U25" s="38"/>
      <c r="V25" s="38"/>
      <c r="W25" s="38"/>
      <c r="X25" s="38"/>
      <c r="Y25" s="37"/>
      <c r="Z25" s="37"/>
    </row>
    <row r="26">
      <c r="A26" s="38"/>
      <c r="B26" s="37"/>
      <c r="C26" s="68" t="s">
        <v>46</v>
      </c>
      <c r="D26" s="37"/>
      <c r="E26" s="37"/>
      <c r="F26" s="37"/>
      <c r="G26" s="38"/>
      <c r="H26" s="37"/>
      <c r="I26" s="68" t="s">
        <v>47</v>
      </c>
      <c r="J26" s="37"/>
      <c r="K26" s="37"/>
      <c r="L26" s="37"/>
      <c r="M26" s="37"/>
      <c r="N26" s="38"/>
      <c r="O26" s="38"/>
      <c r="P26" s="38"/>
      <c r="Q26" s="37"/>
      <c r="R26" s="37"/>
      <c r="S26" s="37"/>
      <c r="T26" s="37"/>
      <c r="U26" s="37"/>
      <c r="V26" s="38"/>
      <c r="W26" s="38"/>
      <c r="X26" s="38"/>
      <c r="Y26" s="37"/>
      <c r="Z26" s="37"/>
    </row>
    <row r="27">
      <c r="A27" s="38"/>
      <c r="B27" s="37"/>
      <c r="C27" s="68" t="s">
        <v>48</v>
      </c>
      <c r="D27" s="37"/>
      <c r="E27" s="37"/>
      <c r="F27" s="37"/>
      <c r="G27" s="37"/>
      <c r="H27" s="37"/>
      <c r="I27" s="68" t="s">
        <v>49</v>
      </c>
      <c r="J27" s="37"/>
      <c r="K27" s="37"/>
      <c r="L27" s="37"/>
      <c r="M27" s="37"/>
      <c r="N27" s="38"/>
      <c r="O27" s="38"/>
      <c r="P27" s="38"/>
      <c r="Q27" s="37"/>
      <c r="R27" s="37"/>
      <c r="S27" s="37"/>
      <c r="T27" s="37"/>
      <c r="U27" s="37"/>
      <c r="V27" s="37"/>
      <c r="W27" s="37"/>
      <c r="X27" s="38"/>
      <c r="Y27" s="37"/>
      <c r="Z27" s="37"/>
    </row>
    <row r="28">
      <c r="A28" s="38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  <c r="O28" s="38"/>
      <c r="P28" s="38"/>
      <c r="Q28" s="37"/>
      <c r="R28" s="37"/>
      <c r="S28" s="37"/>
      <c r="T28" s="37"/>
      <c r="U28" s="37"/>
      <c r="V28" s="37"/>
      <c r="W28" s="37"/>
      <c r="X28" s="38"/>
      <c r="Y28" s="37"/>
      <c r="Z28" s="37"/>
    </row>
    <row r="29">
      <c r="A29" s="38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8"/>
      <c r="O29" s="38"/>
      <c r="P29" s="38"/>
      <c r="Q29" s="37"/>
      <c r="R29" s="37"/>
      <c r="S29" s="37"/>
      <c r="T29" s="37"/>
      <c r="U29" s="37"/>
      <c r="V29" s="37"/>
      <c r="W29" s="37"/>
      <c r="X29" s="38"/>
      <c r="Y29" s="37"/>
      <c r="Z29" s="37"/>
    </row>
    <row r="30">
      <c r="A30" s="38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  <c r="O30" s="38"/>
      <c r="P30" s="71" t="s">
        <v>50</v>
      </c>
      <c r="Q30" s="37"/>
      <c r="R30" s="37"/>
      <c r="S30" s="37"/>
      <c r="T30" s="37"/>
      <c r="U30" s="37"/>
      <c r="V30" s="37"/>
      <c r="W30" s="37"/>
      <c r="X30" s="38"/>
      <c r="Y30" s="37"/>
      <c r="Z30" s="37"/>
    </row>
    <row r="31">
      <c r="A31" s="38"/>
      <c r="B31" s="37"/>
      <c r="C31" s="72" t="s">
        <v>51</v>
      </c>
      <c r="F31" s="37"/>
      <c r="G31" s="37"/>
      <c r="H31" s="37"/>
      <c r="I31" s="37"/>
      <c r="J31" s="37"/>
      <c r="K31" s="37"/>
      <c r="L31" s="37"/>
      <c r="M31" s="37"/>
      <c r="N31" s="38"/>
      <c r="O31" s="38"/>
      <c r="P31" s="38"/>
      <c r="Q31" s="37"/>
      <c r="R31" s="37"/>
      <c r="S31" s="37"/>
      <c r="T31" s="37"/>
      <c r="U31" s="37"/>
      <c r="V31" s="37"/>
      <c r="W31" s="37"/>
      <c r="X31" s="38"/>
      <c r="Y31" s="37"/>
      <c r="Z31" s="37"/>
    </row>
    <row r="32">
      <c r="A32" s="38"/>
      <c r="B32" s="37"/>
      <c r="F32" s="37"/>
      <c r="G32" s="37"/>
      <c r="H32" s="37"/>
      <c r="I32" s="37"/>
      <c r="J32" s="37"/>
      <c r="K32" s="37"/>
      <c r="L32" s="37"/>
      <c r="M32" s="37"/>
      <c r="N32" s="38"/>
      <c r="O32" s="38"/>
      <c r="P32" s="38"/>
      <c r="Q32" s="37"/>
      <c r="R32" s="37"/>
      <c r="S32" s="37"/>
      <c r="T32" s="37"/>
      <c r="U32" s="37"/>
      <c r="V32" s="37"/>
      <c r="W32" s="37"/>
      <c r="X32" s="38"/>
      <c r="Y32" s="37"/>
      <c r="Z32" s="37"/>
    </row>
    <row r="33">
      <c r="A33" s="38"/>
      <c r="B33" s="37"/>
      <c r="C33" s="73" t="s">
        <v>52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8"/>
      <c r="O33" s="38"/>
      <c r="P33" s="38"/>
      <c r="Q33" s="37"/>
      <c r="R33" s="37"/>
      <c r="S33" s="37"/>
      <c r="T33" s="37"/>
      <c r="U33" s="37"/>
      <c r="V33" s="37"/>
      <c r="W33" s="37"/>
      <c r="X33" s="38"/>
      <c r="Y33" s="37"/>
      <c r="Z33" s="37"/>
    </row>
    <row r="34">
      <c r="A34" s="38"/>
      <c r="B34" s="37"/>
      <c r="C34" s="73" t="s">
        <v>53</v>
      </c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8"/>
      <c r="O34" s="38"/>
      <c r="P34" s="38"/>
      <c r="Q34" s="37"/>
      <c r="R34" s="37"/>
      <c r="S34" s="37"/>
      <c r="T34" s="37"/>
      <c r="U34" s="37"/>
      <c r="V34" s="38"/>
      <c r="W34" s="38"/>
      <c r="X34" s="38"/>
      <c r="Y34" s="37"/>
      <c r="Z34" s="37"/>
    </row>
    <row r="35">
      <c r="A35" s="38"/>
      <c r="B35" s="37"/>
      <c r="C35" s="73" t="s">
        <v>54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8"/>
      <c r="O35" s="38"/>
      <c r="P35" s="38"/>
      <c r="Q35" s="37"/>
      <c r="R35" s="37"/>
      <c r="S35" s="37"/>
      <c r="T35" s="37"/>
      <c r="U35" s="37"/>
      <c r="V35" s="38"/>
      <c r="W35" s="38"/>
      <c r="X35" s="38"/>
      <c r="Y35" s="37"/>
      <c r="Z35" s="37"/>
    </row>
    <row r="36">
      <c r="A36" s="38"/>
      <c r="B36" s="37"/>
      <c r="C36" s="73" t="s">
        <v>55</v>
      </c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8"/>
      <c r="P36" s="38"/>
      <c r="Q36" s="37"/>
      <c r="R36" s="37"/>
      <c r="S36" s="37"/>
      <c r="T36" s="37"/>
      <c r="U36" s="37"/>
      <c r="V36" s="38"/>
      <c r="W36" s="38"/>
      <c r="X36" s="38"/>
      <c r="Y36" s="37"/>
      <c r="Z36" s="37"/>
    </row>
    <row r="37">
      <c r="A37" s="38"/>
      <c r="B37" s="37"/>
      <c r="C37" s="73" t="s">
        <v>56</v>
      </c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8"/>
      <c r="W37" s="38"/>
      <c r="X37" s="38"/>
      <c r="Y37" s="37"/>
      <c r="Z37" s="37"/>
    </row>
    <row r="38">
      <c r="A38" s="38"/>
      <c r="B38" s="37"/>
      <c r="C38" s="73" t="s">
        <v>57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7"/>
      <c r="O38" s="37"/>
      <c r="P38" s="37"/>
      <c r="Q38" s="37"/>
      <c r="R38" s="37"/>
      <c r="S38" s="37"/>
      <c r="T38" s="37"/>
      <c r="U38" s="37"/>
      <c r="V38" s="38"/>
      <c r="W38" s="38"/>
      <c r="X38" s="38"/>
      <c r="Y38" s="37"/>
      <c r="Z38" s="37"/>
    </row>
    <row r="39">
      <c r="A39" s="38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8"/>
      <c r="W39" s="38"/>
      <c r="X39" s="38"/>
      <c r="Y39" s="37"/>
      <c r="Z39" s="37"/>
    </row>
    <row r="40">
      <c r="A40" s="38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8"/>
      <c r="W40" s="38"/>
      <c r="X40" s="38"/>
      <c r="Y40" s="37"/>
      <c r="Z40" s="37"/>
    </row>
    <row r="41">
      <c r="A41" s="38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8"/>
      <c r="W41" s="38"/>
      <c r="X41" s="38"/>
      <c r="Y41" s="37"/>
      <c r="Z41" s="37"/>
    </row>
    <row r="42">
      <c r="A42" s="38"/>
      <c r="B42" s="38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8"/>
      <c r="R42" s="38"/>
      <c r="S42" s="38"/>
      <c r="T42" s="38"/>
      <c r="U42" s="38"/>
      <c r="V42" s="38"/>
      <c r="W42" s="38"/>
      <c r="X42" s="38"/>
      <c r="Y42" s="37"/>
      <c r="Z42" s="37"/>
    </row>
    <row r="43">
      <c r="A43" s="38"/>
      <c r="B43" s="38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8"/>
      <c r="R43" s="38"/>
      <c r="S43" s="38"/>
      <c r="T43" s="38"/>
      <c r="U43" s="38"/>
      <c r="V43" s="38"/>
      <c r="W43" s="38"/>
      <c r="X43" s="38"/>
      <c r="Y43" s="37"/>
      <c r="Z43" s="37"/>
    </row>
    <row r="44">
      <c r="A44" s="38"/>
      <c r="B44" s="38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8"/>
      <c r="R44" s="38"/>
      <c r="S44" s="38"/>
      <c r="T44" s="38"/>
      <c r="U44" s="38"/>
      <c r="V44" s="38"/>
      <c r="W44" s="38"/>
      <c r="X44" s="38"/>
      <c r="Y44" s="37"/>
      <c r="Z44" s="37"/>
    </row>
    <row r="45">
      <c r="A45" s="38"/>
      <c r="B45" s="38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8"/>
      <c r="R45" s="38"/>
      <c r="S45" s="38"/>
      <c r="T45" s="38"/>
      <c r="U45" s="38"/>
      <c r="V45" s="38"/>
      <c r="W45" s="38"/>
      <c r="X45" s="38"/>
      <c r="Y45" s="37"/>
      <c r="Z45" s="37"/>
    </row>
    <row r="46">
      <c r="A46" s="38"/>
      <c r="B46" s="38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8"/>
      <c r="R46" s="38"/>
      <c r="S46" s="38"/>
      <c r="T46" s="38"/>
      <c r="U46" s="38"/>
      <c r="V46" s="38"/>
      <c r="W46" s="38"/>
      <c r="X46" s="38"/>
      <c r="Y46" s="37"/>
      <c r="Z46" s="37"/>
    </row>
    <row r="47">
      <c r="A47" s="38"/>
      <c r="B47" s="38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8"/>
      <c r="R47" s="38"/>
      <c r="S47" s="38"/>
      <c r="T47" s="38"/>
      <c r="U47" s="38"/>
      <c r="V47" s="38"/>
      <c r="W47" s="38"/>
      <c r="X47" s="38"/>
      <c r="Y47" s="37"/>
      <c r="Z47" s="37"/>
    </row>
    <row r="48">
      <c r="A48" s="38"/>
      <c r="B48" s="38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8"/>
      <c r="R48" s="38"/>
      <c r="S48" s="38"/>
      <c r="T48" s="38"/>
      <c r="U48" s="38"/>
      <c r="V48" s="38"/>
      <c r="W48" s="38"/>
      <c r="X48" s="38"/>
      <c r="Y48" s="37"/>
      <c r="Z48" s="37"/>
    </row>
    <row r="49">
      <c r="A49" s="38"/>
      <c r="B49" s="38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8"/>
      <c r="R49" s="38"/>
      <c r="S49" s="38"/>
      <c r="T49" s="38"/>
      <c r="U49" s="38"/>
      <c r="V49" s="38"/>
      <c r="W49" s="38"/>
      <c r="X49" s="38"/>
      <c r="Y49" s="37"/>
      <c r="Z49" s="37"/>
    </row>
    <row r="50">
      <c r="A50" s="38"/>
      <c r="B50" s="38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8"/>
      <c r="R50" s="38"/>
      <c r="S50" s="38"/>
      <c r="T50" s="38"/>
      <c r="U50" s="38"/>
      <c r="V50" s="38"/>
      <c r="W50" s="38"/>
      <c r="X50" s="38"/>
      <c r="Y50" s="37"/>
      <c r="Z50" s="37"/>
    </row>
    <row r="51">
      <c r="A51" s="38"/>
      <c r="B51" s="3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8"/>
      <c r="R51" s="38"/>
      <c r="S51" s="38"/>
      <c r="T51" s="38"/>
      <c r="U51" s="38"/>
      <c r="V51" s="38"/>
      <c r="W51" s="38"/>
      <c r="X51" s="38"/>
      <c r="Y51" s="37"/>
      <c r="Z51" s="37"/>
    </row>
    <row r="52">
      <c r="A52" s="38"/>
      <c r="B52" s="38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8"/>
      <c r="R52" s="38"/>
      <c r="S52" s="38"/>
      <c r="T52" s="38"/>
      <c r="U52" s="38"/>
      <c r="V52" s="38"/>
      <c r="W52" s="38"/>
      <c r="X52" s="38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</sheetData>
  <mergeCells count="24">
    <mergeCell ref="K14:L14"/>
    <mergeCell ref="M14:N14"/>
    <mergeCell ref="Q14:R14"/>
    <mergeCell ref="B4:Q8"/>
    <mergeCell ref="D11:F12"/>
    <mergeCell ref="H11:I12"/>
    <mergeCell ref="K11:L12"/>
    <mergeCell ref="N11:O12"/>
    <mergeCell ref="C14:D14"/>
    <mergeCell ref="E14:F14"/>
    <mergeCell ref="O14:P14"/>
    <mergeCell ref="M15:N18"/>
    <mergeCell ref="O15:P18"/>
    <mergeCell ref="Q15:R18"/>
    <mergeCell ref="C22:G23"/>
    <mergeCell ref="I22:M23"/>
    <mergeCell ref="C31:E32"/>
    <mergeCell ref="G14:H14"/>
    <mergeCell ref="I14:J14"/>
    <mergeCell ref="C15:D18"/>
    <mergeCell ref="E15:F18"/>
    <mergeCell ref="G15:H18"/>
    <mergeCell ref="I15:J18"/>
    <mergeCell ref="K15:L18"/>
  </mergeCells>
  <hyperlinks>
    <hyperlink r:id="rId1" ref="C24"/>
    <hyperlink r:id="rId2" ref="C25"/>
    <hyperlink r:id="rId3" ref="I25"/>
    <hyperlink r:id="rId4" ref="C26"/>
    <hyperlink r:id="rId5" ref="I26"/>
    <hyperlink r:id="rId6" ref="C27"/>
    <hyperlink r:id="rId7" ref="I2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12.63"/>
    <col customWidth="1" min="2" max="2" width="53.25"/>
    <col customWidth="1" min="3" max="67" width="12.63"/>
  </cols>
  <sheetData>
    <row r="1">
      <c r="A1" s="37"/>
      <c r="B1" s="74"/>
      <c r="H1" s="75"/>
      <c r="I1" s="76" t="s">
        <v>58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1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8"/>
    </row>
    <row r="2">
      <c r="A2" s="74"/>
      <c r="H2" s="75"/>
      <c r="AV2" s="43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5"/>
    </row>
    <row r="3">
      <c r="A3" s="74"/>
      <c r="H3" s="75"/>
      <c r="AV3" s="43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5"/>
    </row>
    <row r="4">
      <c r="A4" s="74"/>
      <c r="H4" s="75"/>
      <c r="AV4" s="43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5"/>
    </row>
    <row r="5">
      <c r="A5" s="74"/>
      <c r="H5" s="75"/>
      <c r="AV5" s="43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5"/>
    </row>
    <row r="6">
      <c r="A6" s="74"/>
      <c r="H6" s="75"/>
      <c r="AV6" s="43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5"/>
    </row>
    <row r="7">
      <c r="A7" s="74"/>
      <c r="H7" s="75"/>
      <c r="AV7" s="43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</row>
    <row r="8">
      <c r="A8" s="74"/>
      <c r="H8" s="7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6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</row>
    <row r="9">
      <c r="A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>
      <c r="A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>
      <c r="A11" s="37"/>
      <c r="H11" s="37"/>
      <c r="I11" s="37"/>
      <c r="J11" s="80" t="s">
        <v>59</v>
      </c>
      <c r="K11" s="81"/>
      <c r="L11" s="81"/>
      <c r="M11" s="81"/>
      <c r="N11" s="82"/>
      <c r="O11" s="83" t="s">
        <v>60</v>
      </c>
      <c r="P11" s="37"/>
      <c r="Q11" s="37"/>
      <c r="R11" s="37"/>
      <c r="S11" s="37"/>
      <c r="T11" s="80" t="s">
        <v>59</v>
      </c>
      <c r="U11" s="81"/>
      <c r="V11" s="81"/>
      <c r="W11" s="81"/>
      <c r="X11" s="82"/>
      <c r="Y11" s="83"/>
      <c r="Z11" s="37"/>
      <c r="AA11" s="37"/>
      <c r="AB11" s="37"/>
      <c r="AC11" s="37"/>
      <c r="AD11" s="80" t="s">
        <v>59</v>
      </c>
      <c r="AE11" s="81"/>
      <c r="AF11" s="81"/>
      <c r="AG11" s="81"/>
      <c r="AH11" s="82"/>
      <c r="AI11" s="83"/>
      <c r="AJ11" s="37"/>
      <c r="AK11" s="37"/>
      <c r="AL11" s="37"/>
      <c r="AM11" s="37"/>
      <c r="AN11" s="80" t="s">
        <v>59</v>
      </c>
      <c r="AO11" s="81"/>
      <c r="AP11" s="81"/>
      <c r="AQ11" s="81"/>
      <c r="AR11" s="82"/>
      <c r="AS11" s="83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>
      <c r="A12" s="37"/>
      <c r="H12" s="84"/>
      <c r="I12" s="84"/>
      <c r="J12" s="84"/>
      <c r="K12" s="37"/>
      <c r="L12" s="37"/>
      <c r="M12" s="37"/>
      <c r="N12" s="37"/>
      <c r="O12" s="37"/>
      <c r="P12" s="37"/>
      <c r="Q12" s="37"/>
      <c r="R12" s="37"/>
      <c r="S12" s="84"/>
      <c r="T12" s="84"/>
      <c r="U12" s="37"/>
      <c r="V12" s="37"/>
      <c r="W12" s="37"/>
      <c r="X12" s="37"/>
      <c r="Y12" s="37"/>
      <c r="Z12" s="37"/>
      <c r="AA12" s="37"/>
      <c r="AB12" s="37"/>
      <c r="AC12" s="84"/>
      <c r="AD12" s="84"/>
      <c r="AE12" s="37"/>
      <c r="AF12" s="37"/>
      <c r="AG12" s="37"/>
      <c r="AH12" s="37"/>
      <c r="AI12" s="37"/>
      <c r="AJ12" s="37"/>
      <c r="AK12" s="37"/>
      <c r="AL12" s="37"/>
      <c r="AM12" s="84"/>
      <c r="AN12" s="84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>
      <c r="A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  <row r="14">
      <c r="A14" s="37"/>
      <c r="B14" s="85" t="s">
        <v>61</v>
      </c>
      <c r="C14" s="86" t="s">
        <v>62</v>
      </c>
      <c r="D14" s="87"/>
      <c r="E14" s="88" t="s">
        <v>63</v>
      </c>
      <c r="F14" s="40"/>
      <c r="G14" s="41"/>
      <c r="H14" s="37"/>
      <c r="I14" s="85" t="s">
        <v>64</v>
      </c>
      <c r="J14" s="87"/>
      <c r="K14" s="86" t="s">
        <v>65</v>
      </c>
      <c r="L14" s="87"/>
      <c r="M14" s="86" t="s">
        <v>66</v>
      </c>
      <c r="N14" s="86" t="s">
        <v>67</v>
      </c>
      <c r="O14" s="40"/>
      <c r="P14" s="87"/>
      <c r="Q14" s="89" t="s">
        <v>68</v>
      </c>
      <c r="R14" s="37"/>
      <c r="S14" s="85"/>
      <c r="T14" s="87"/>
      <c r="U14" s="86"/>
      <c r="V14" s="87"/>
      <c r="W14" s="86"/>
      <c r="X14" s="86"/>
      <c r="Y14" s="40"/>
      <c r="Z14" s="87"/>
      <c r="AA14" s="89"/>
      <c r="AB14" s="37"/>
      <c r="AC14" s="85"/>
      <c r="AD14" s="87"/>
      <c r="AE14" s="86"/>
      <c r="AF14" s="87"/>
      <c r="AG14" s="86"/>
      <c r="AH14" s="86"/>
      <c r="AI14" s="40"/>
      <c r="AJ14" s="87"/>
      <c r="AK14" s="89"/>
      <c r="AL14" s="37"/>
      <c r="AM14" s="85"/>
      <c r="AN14" s="87"/>
      <c r="AO14" s="86"/>
      <c r="AP14" s="87"/>
      <c r="AQ14" s="86"/>
      <c r="AR14" s="86"/>
      <c r="AS14" s="40"/>
      <c r="AT14" s="87"/>
      <c r="AU14" s="89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</row>
    <row r="15">
      <c r="A15" s="37"/>
      <c r="B15" s="42"/>
      <c r="C15" s="90"/>
      <c r="D15" s="25"/>
      <c r="E15" s="90"/>
      <c r="G15" s="43"/>
      <c r="H15" s="37"/>
      <c r="I15" s="42"/>
      <c r="J15" s="25"/>
      <c r="K15" s="90"/>
      <c r="L15" s="25"/>
      <c r="M15" s="90"/>
      <c r="N15" s="90"/>
      <c r="P15" s="25"/>
      <c r="Q15" s="91"/>
      <c r="R15" s="37"/>
      <c r="S15" s="42"/>
      <c r="T15" s="25"/>
      <c r="U15" s="90"/>
      <c r="V15" s="25"/>
      <c r="W15" s="90"/>
      <c r="X15" s="90"/>
      <c r="Z15" s="25"/>
      <c r="AA15" s="91"/>
      <c r="AB15" s="37"/>
      <c r="AC15" s="42"/>
      <c r="AD15" s="25"/>
      <c r="AE15" s="90"/>
      <c r="AF15" s="25"/>
      <c r="AG15" s="90"/>
      <c r="AH15" s="90"/>
      <c r="AJ15" s="25"/>
      <c r="AK15" s="91"/>
      <c r="AL15" s="37"/>
      <c r="AM15" s="42"/>
      <c r="AN15" s="25"/>
      <c r="AO15" s="90"/>
      <c r="AP15" s="25"/>
      <c r="AQ15" s="90"/>
      <c r="AR15" s="90"/>
      <c r="AT15" s="25"/>
      <c r="AU15" s="91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</row>
    <row r="16">
      <c r="A16" s="37"/>
      <c r="B16" s="92"/>
      <c r="C16" s="27"/>
      <c r="D16" s="28"/>
      <c r="E16" s="27"/>
      <c r="F16" s="22"/>
      <c r="G16" s="93"/>
      <c r="H16" s="37"/>
      <c r="I16" s="92"/>
      <c r="J16" s="28"/>
      <c r="K16" s="27"/>
      <c r="L16" s="28"/>
      <c r="M16" s="27"/>
      <c r="N16" s="27"/>
      <c r="O16" s="22"/>
      <c r="P16" s="28"/>
      <c r="Q16" s="94"/>
      <c r="R16" s="37"/>
      <c r="S16" s="92"/>
      <c r="T16" s="28"/>
      <c r="U16" s="27"/>
      <c r="V16" s="28"/>
      <c r="W16" s="27"/>
      <c r="X16" s="27"/>
      <c r="Y16" s="22"/>
      <c r="Z16" s="28"/>
      <c r="AA16" s="94"/>
      <c r="AB16" s="37"/>
      <c r="AC16" s="92"/>
      <c r="AD16" s="28"/>
      <c r="AE16" s="27"/>
      <c r="AF16" s="28"/>
      <c r="AG16" s="27"/>
      <c r="AH16" s="27"/>
      <c r="AI16" s="22"/>
      <c r="AJ16" s="28"/>
      <c r="AK16" s="94"/>
      <c r="AL16" s="37"/>
      <c r="AM16" s="92"/>
      <c r="AN16" s="28"/>
      <c r="AO16" s="27"/>
      <c r="AP16" s="28"/>
      <c r="AQ16" s="27"/>
      <c r="AR16" s="27"/>
      <c r="AS16" s="22"/>
      <c r="AT16" s="28"/>
      <c r="AU16" s="94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</row>
    <row r="17">
      <c r="A17" s="37"/>
      <c r="B17" s="95" t="s">
        <v>69</v>
      </c>
      <c r="C17" s="96" t="s">
        <v>70</v>
      </c>
      <c r="D17" s="25"/>
      <c r="E17" s="97" t="s">
        <v>71</v>
      </c>
      <c r="G17" s="43"/>
      <c r="H17" s="37"/>
      <c r="I17" s="98" t="s">
        <v>72</v>
      </c>
      <c r="J17" s="25"/>
      <c r="K17" s="99">
        <v>45634.0</v>
      </c>
      <c r="M17" s="96">
        <v>0.0</v>
      </c>
      <c r="N17" s="100" t="s">
        <v>73</v>
      </c>
      <c r="P17" s="25"/>
      <c r="Q17" s="101">
        <v>3101.0</v>
      </c>
      <c r="R17" s="37"/>
      <c r="S17" s="98"/>
      <c r="T17" s="25"/>
      <c r="U17" s="99"/>
      <c r="W17" s="96"/>
      <c r="X17" s="102"/>
      <c r="Z17" s="25"/>
      <c r="AA17" s="101"/>
      <c r="AB17" s="37"/>
      <c r="AC17" s="98"/>
      <c r="AD17" s="25"/>
      <c r="AE17" s="99"/>
      <c r="AG17" s="96"/>
      <c r="AH17" s="102"/>
      <c r="AJ17" s="25"/>
      <c r="AK17" s="101"/>
      <c r="AL17" s="37"/>
      <c r="AM17" s="98"/>
      <c r="AN17" s="25"/>
      <c r="AO17" s="99"/>
      <c r="AQ17" s="96"/>
      <c r="AR17" s="102"/>
      <c r="AT17" s="25"/>
      <c r="AU17" s="101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</row>
    <row r="18">
      <c r="A18" s="37"/>
      <c r="B18" s="103" t="s">
        <v>74</v>
      </c>
      <c r="C18" s="104" t="s">
        <v>75</v>
      </c>
      <c r="D18" s="25"/>
      <c r="E18" s="105"/>
      <c r="G18" s="43"/>
      <c r="H18" s="37"/>
      <c r="I18" s="106">
        <v>2.0</v>
      </c>
      <c r="J18" s="25"/>
      <c r="K18" s="107">
        <v>45875.0</v>
      </c>
      <c r="M18" s="104">
        <v>1.0</v>
      </c>
      <c r="N18" s="105"/>
      <c r="P18" s="25"/>
      <c r="Q18" s="108"/>
      <c r="R18" s="37"/>
      <c r="S18" s="106"/>
      <c r="T18" s="25"/>
      <c r="U18" s="107"/>
      <c r="W18" s="104"/>
      <c r="X18" s="105"/>
      <c r="Z18" s="25"/>
      <c r="AA18" s="108"/>
      <c r="AB18" s="37"/>
      <c r="AC18" s="106"/>
      <c r="AD18" s="25"/>
      <c r="AE18" s="107"/>
      <c r="AG18" s="104"/>
      <c r="AH18" s="105"/>
      <c r="AJ18" s="25"/>
      <c r="AK18" s="108"/>
      <c r="AL18" s="37"/>
      <c r="AM18" s="106"/>
      <c r="AN18" s="25"/>
      <c r="AO18" s="107"/>
      <c r="AQ18" s="104"/>
      <c r="AR18" s="105"/>
      <c r="AT18" s="25"/>
      <c r="AU18" s="108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</row>
    <row r="19">
      <c r="A19" s="37"/>
      <c r="B19" s="109" t="s">
        <v>76</v>
      </c>
      <c r="C19" s="110" t="s">
        <v>77</v>
      </c>
      <c r="D19" s="25"/>
      <c r="E19" s="111"/>
      <c r="G19" s="43"/>
      <c r="H19" s="112"/>
      <c r="I19" s="113" t="s">
        <v>78</v>
      </c>
      <c r="J19" s="25"/>
      <c r="K19" s="114" t="s">
        <v>79</v>
      </c>
      <c r="M19" s="115">
        <v>0.0</v>
      </c>
      <c r="N19" s="97" t="s">
        <v>73</v>
      </c>
      <c r="P19" s="25"/>
      <c r="Q19" s="116">
        <v>3101.0</v>
      </c>
      <c r="R19" s="37"/>
      <c r="S19" s="117"/>
      <c r="T19" s="25"/>
      <c r="U19" s="118"/>
      <c r="W19" s="115"/>
      <c r="X19" s="119"/>
      <c r="Z19" s="25"/>
      <c r="AA19" s="120"/>
      <c r="AB19" s="37"/>
      <c r="AC19" s="117"/>
      <c r="AD19" s="25"/>
      <c r="AE19" s="118"/>
      <c r="AG19" s="115"/>
      <c r="AH19" s="119"/>
      <c r="AJ19" s="25"/>
      <c r="AK19" s="120"/>
      <c r="AL19" s="37"/>
      <c r="AM19" s="117"/>
      <c r="AN19" s="25"/>
      <c r="AO19" s="118"/>
      <c r="AQ19" s="115"/>
      <c r="AR19" s="119"/>
      <c r="AT19" s="25"/>
      <c r="AU19" s="120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</row>
    <row r="20">
      <c r="A20" s="37"/>
      <c r="B20" s="121" t="s">
        <v>80</v>
      </c>
      <c r="C20" s="122" t="s">
        <v>81</v>
      </c>
      <c r="D20" s="25"/>
      <c r="E20" s="123" t="s">
        <v>82</v>
      </c>
      <c r="G20" s="43"/>
      <c r="H20" s="112"/>
      <c r="I20" s="124">
        <v>2.0</v>
      </c>
      <c r="J20" s="25"/>
      <c r="K20" s="125">
        <v>45634.0</v>
      </c>
      <c r="M20" s="104">
        <v>0.0</v>
      </c>
      <c r="N20" s="126"/>
      <c r="P20" s="25"/>
      <c r="Q20" s="127">
        <v>3101.0</v>
      </c>
      <c r="R20" s="37"/>
      <c r="S20" s="106"/>
      <c r="T20" s="25"/>
      <c r="U20" s="128"/>
      <c r="W20" s="104"/>
      <c r="X20" s="105"/>
      <c r="Z20" s="25"/>
      <c r="AA20" s="108"/>
      <c r="AB20" s="37"/>
      <c r="AC20" s="106"/>
      <c r="AD20" s="25"/>
      <c r="AE20" s="128"/>
      <c r="AG20" s="104"/>
      <c r="AH20" s="105"/>
      <c r="AJ20" s="25"/>
      <c r="AK20" s="108"/>
      <c r="AL20" s="37"/>
      <c r="AM20" s="106"/>
      <c r="AN20" s="25"/>
      <c r="AO20" s="128"/>
      <c r="AQ20" s="104"/>
      <c r="AR20" s="105"/>
      <c r="AT20" s="25"/>
      <c r="AU20" s="108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</row>
    <row r="21">
      <c r="A21" s="37"/>
      <c r="B21" s="129" t="s">
        <v>83</v>
      </c>
      <c r="C21" s="130" t="s">
        <v>84</v>
      </c>
      <c r="D21" s="25"/>
      <c r="E21" s="131"/>
      <c r="G21" s="43"/>
      <c r="H21" s="112"/>
      <c r="I21" s="132">
        <v>3.0</v>
      </c>
      <c r="J21" s="25"/>
      <c r="K21" s="133">
        <v>45634.0</v>
      </c>
      <c r="M21" s="96">
        <v>0.0</v>
      </c>
      <c r="N21" s="131"/>
      <c r="P21" s="25"/>
      <c r="Q21" s="134"/>
      <c r="R21" s="37"/>
      <c r="S21" s="98"/>
      <c r="T21" s="25"/>
      <c r="U21" s="99"/>
      <c r="W21" s="96"/>
      <c r="X21" s="102"/>
      <c r="Z21" s="25"/>
      <c r="AA21" s="101"/>
      <c r="AB21" s="37"/>
      <c r="AC21" s="98"/>
      <c r="AD21" s="25"/>
      <c r="AE21" s="99"/>
      <c r="AG21" s="96"/>
      <c r="AH21" s="102"/>
      <c r="AJ21" s="25"/>
      <c r="AK21" s="101"/>
      <c r="AL21" s="37"/>
      <c r="AM21" s="98"/>
      <c r="AN21" s="25"/>
      <c r="AO21" s="99"/>
      <c r="AQ21" s="96"/>
      <c r="AR21" s="102"/>
      <c r="AT21" s="25"/>
      <c r="AU21" s="101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</row>
    <row r="22">
      <c r="A22" s="37"/>
      <c r="B22" s="135" t="s">
        <v>85</v>
      </c>
      <c r="C22" s="136" t="s">
        <v>81</v>
      </c>
      <c r="D22" s="25"/>
      <c r="E22" s="123" t="s">
        <v>82</v>
      </c>
      <c r="G22" s="43"/>
      <c r="H22" s="112"/>
      <c r="I22" s="137">
        <v>2.0</v>
      </c>
      <c r="J22" s="25"/>
      <c r="K22" s="138">
        <v>45634.0</v>
      </c>
      <c r="M22" s="104">
        <v>0.0</v>
      </c>
      <c r="N22" s="139"/>
      <c r="P22" s="25"/>
      <c r="Q22" s="140"/>
      <c r="R22" s="37"/>
      <c r="S22" s="106"/>
      <c r="T22" s="25"/>
      <c r="U22" s="107"/>
      <c r="W22" s="104"/>
      <c r="X22" s="105"/>
      <c r="Z22" s="25"/>
      <c r="AA22" s="108"/>
      <c r="AB22" s="37"/>
      <c r="AC22" s="106"/>
      <c r="AD22" s="25"/>
      <c r="AE22" s="107"/>
      <c r="AG22" s="104"/>
      <c r="AH22" s="105"/>
      <c r="AJ22" s="25"/>
      <c r="AK22" s="108"/>
      <c r="AL22" s="37"/>
      <c r="AM22" s="106"/>
      <c r="AN22" s="25"/>
      <c r="AO22" s="107"/>
      <c r="AQ22" s="104"/>
      <c r="AR22" s="105"/>
      <c r="AT22" s="25"/>
      <c r="AU22" s="108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</row>
    <row r="23">
      <c r="A23" s="37"/>
      <c r="B23" s="141" t="s">
        <v>86</v>
      </c>
      <c r="C23" s="115" t="s">
        <v>87</v>
      </c>
      <c r="D23" s="25"/>
      <c r="E23" s="119"/>
      <c r="G23" s="43"/>
      <c r="H23" s="37"/>
      <c r="I23" s="117" t="s">
        <v>72</v>
      </c>
      <c r="J23" s="25"/>
      <c r="K23" s="118">
        <v>45634.0</v>
      </c>
      <c r="M23" s="115">
        <v>0.0</v>
      </c>
      <c r="N23" s="97" t="s">
        <v>73</v>
      </c>
      <c r="P23" s="25"/>
      <c r="Q23" s="120"/>
      <c r="R23" s="37"/>
      <c r="S23" s="98"/>
      <c r="T23" s="25"/>
      <c r="U23" s="142"/>
      <c r="W23" s="96"/>
      <c r="X23" s="102"/>
      <c r="Z23" s="25"/>
      <c r="AA23" s="101"/>
      <c r="AB23" s="37"/>
      <c r="AC23" s="98"/>
      <c r="AD23" s="25"/>
      <c r="AE23" s="142"/>
      <c r="AG23" s="96"/>
      <c r="AH23" s="102"/>
      <c r="AJ23" s="25"/>
      <c r="AK23" s="101"/>
      <c r="AL23" s="37"/>
      <c r="AM23" s="98"/>
      <c r="AN23" s="25"/>
      <c r="AO23" s="142"/>
      <c r="AQ23" s="96"/>
      <c r="AR23" s="102"/>
      <c r="AT23" s="25"/>
      <c r="AU23" s="101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</row>
    <row r="24">
      <c r="A24" s="37"/>
      <c r="B24" s="103" t="s">
        <v>88</v>
      </c>
      <c r="C24" s="104" t="s">
        <v>89</v>
      </c>
      <c r="D24" s="25"/>
      <c r="E24" s="105"/>
      <c r="G24" s="43"/>
      <c r="H24" s="37"/>
      <c r="I24" s="106" t="s">
        <v>78</v>
      </c>
      <c r="J24" s="25"/>
      <c r="K24" s="128" t="s">
        <v>79</v>
      </c>
      <c r="M24" s="104">
        <v>0.0</v>
      </c>
      <c r="N24" s="123" t="s">
        <v>73</v>
      </c>
      <c r="P24" s="25"/>
      <c r="Q24" s="108">
        <v>3200.0</v>
      </c>
      <c r="R24" s="37"/>
      <c r="S24" s="106"/>
      <c r="T24" s="25"/>
      <c r="U24" s="143"/>
      <c r="W24" s="104"/>
      <c r="X24" s="105"/>
      <c r="Z24" s="25"/>
      <c r="AA24" s="108"/>
      <c r="AB24" s="37"/>
      <c r="AC24" s="106"/>
      <c r="AD24" s="25"/>
      <c r="AE24" s="143"/>
      <c r="AG24" s="104"/>
      <c r="AH24" s="105"/>
      <c r="AJ24" s="25"/>
      <c r="AK24" s="108"/>
      <c r="AL24" s="37"/>
      <c r="AM24" s="106"/>
      <c r="AN24" s="25"/>
      <c r="AO24" s="143"/>
      <c r="AQ24" s="104"/>
      <c r="AR24" s="105"/>
      <c r="AT24" s="25"/>
      <c r="AU24" s="108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</row>
    <row r="25">
      <c r="A25" s="37"/>
      <c r="B25" s="144"/>
      <c r="C25" s="96"/>
      <c r="D25" s="25"/>
      <c r="E25" s="102"/>
      <c r="G25" s="43"/>
      <c r="H25" s="37"/>
      <c r="I25" s="98"/>
      <c r="J25" s="25"/>
      <c r="K25" s="145"/>
      <c r="M25" s="96"/>
      <c r="N25" s="102"/>
      <c r="P25" s="25"/>
      <c r="Q25" s="101"/>
      <c r="R25" s="37"/>
      <c r="S25" s="98"/>
      <c r="T25" s="25"/>
      <c r="U25" s="145"/>
      <c r="W25" s="96"/>
      <c r="X25" s="102"/>
      <c r="Z25" s="25"/>
      <c r="AA25" s="101"/>
      <c r="AB25" s="37"/>
      <c r="AC25" s="98"/>
      <c r="AD25" s="25"/>
      <c r="AE25" s="145"/>
      <c r="AG25" s="96"/>
      <c r="AH25" s="102"/>
      <c r="AJ25" s="25"/>
      <c r="AK25" s="101"/>
      <c r="AL25" s="37"/>
      <c r="AM25" s="98"/>
      <c r="AN25" s="25"/>
      <c r="AO25" s="145"/>
      <c r="AQ25" s="96"/>
      <c r="AR25" s="102"/>
      <c r="AT25" s="25"/>
      <c r="AU25" s="101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</row>
    <row r="26">
      <c r="A26" s="37"/>
      <c r="B26" s="146"/>
      <c r="C26" s="104"/>
      <c r="D26" s="25"/>
      <c r="E26" s="105"/>
      <c r="G26" s="43"/>
      <c r="H26" s="37"/>
      <c r="I26" s="106"/>
      <c r="J26" s="25"/>
      <c r="K26" s="143"/>
      <c r="M26" s="104"/>
      <c r="N26" s="105"/>
      <c r="P26" s="25"/>
      <c r="Q26" s="108"/>
      <c r="R26" s="37"/>
      <c r="S26" s="106"/>
      <c r="T26" s="25"/>
      <c r="U26" s="143"/>
      <c r="W26" s="104"/>
      <c r="X26" s="105"/>
      <c r="Z26" s="25"/>
      <c r="AA26" s="108"/>
      <c r="AB26" s="37"/>
      <c r="AC26" s="106"/>
      <c r="AD26" s="25"/>
      <c r="AE26" s="143"/>
      <c r="AG26" s="104"/>
      <c r="AH26" s="105"/>
      <c r="AJ26" s="25"/>
      <c r="AK26" s="108"/>
      <c r="AL26" s="37"/>
      <c r="AM26" s="106"/>
      <c r="AN26" s="25"/>
      <c r="AO26" s="143"/>
      <c r="AQ26" s="104"/>
      <c r="AR26" s="105"/>
      <c r="AT26" s="25"/>
      <c r="AU26" s="108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</row>
    <row r="27">
      <c r="A27" s="37"/>
      <c r="B27" s="144"/>
      <c r="C27" s="96"/>
      <c r="D27" s="25"/>
      <c r="E27" s="102"/>
      <c r="G27" s="43"/>
      <c r="H27" s="37"/>
      <c r="I27" s="98"/>
      <c r="J27" s="25"/>
      <c r="K27" s="145"/>
      <c r="M27" s="96"/>
      <c r="N27" s="102"/>
      <c r="P27" s="25"/>
      <c r="Q27" s="101"/>
      <c r="R27" s="37"/>
      <c r="S27" s="98"/>
      <c r="T27" s="25"/>
      <c r="U27" s="145"/>
      <c r="W27" s="96"/>
      <c r="X27" s="102"/>
      <c r="Z27" s="25"/>
      <c r="AA27" s="101"/>
      <c r="AB27" s="37"/>
      <c r="AC27" s="98"/>
      <c r="AD27" s="25"/>
      <c r="AE27" s="145"/>
      <c r="AG27" s="96"/>
      <c r="AH27" s="102"/>
      <c r="AJ27" s="25"/>
      <c r="AK27" s="101"/>
      <c r="AL27" s="37"/>
      <c r="AM27" s="98"/>
      <c r="AN27" s="25"/>
      <c r="AO27" s="145"/>
      <c r="AQ27" s="96"/>
      <c r="AR27" s="102"/>
      <c r="AT27" s="25"/>
      <c r="AU27" s="101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</row>
    <row r="28">
      <c r="A28" s="37"/>
      <c r="B28" s="146"/>
      <c r="C28" s="104"/>
      <c r="D28" s="25"/>
      <c r="E28" s="105"/>
      <c r="G28" s="43"/>
      <c r="H28" s="37"/>
      <c r="I28" s="106"/>
      <c r="J28" s="25"/>
      <c r="K28" s="143"/>
      <c r="M28" s="104"/>
      <c r="N28" s="105"/>
      <c r="P28" s="25"/>
      <c r="Q28" s="108"/>
      <c r="R28" s="37"/>
      <c r="S28" s="106"/>
      <c r="T28" s="25"/>
      <c r="U28" s="143"/>
      <c r="W28" s="104"/>
      <c r="X28" s="105"/>
      <c r="Z28" s="25"/>
      <c r="AA28" s="108"/>
      <c r="AB28" s="37"/>
      <c r="AC28" s="106"/>
      <c r="AD28" s="25"/>
      <c r="AE28" s="143"/>
      <c r="AG28" s="104"/>
      <c r="AH28" s="105"/>
      <c r="AJ28" s="25"/>
      <c r="AK28" s="108"/>
      <c r="AL28" s="37"/>
      <c r="AM28" s="106"/>
      <c r="AN28" s="25"/>
      <c r="AO28" s="143"/>
      <c r="AQ28" s="104"/>
      <c r="AR28" s="105"/>
      <c r="AT28" s="25"/>
      <c r="AU28" s="108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</row>
    <row r="29">
      <c r="A29" s="37"/>
      <c r="B29" s="147"/>
      <c r="C29" s="148"/>
      <c r="D29" s="67"/>
      <c r="E29" s="149"/>
      <c r="F29" s="45"/>
      <c r="G29" s="46"/>
      <c r="H29" s="37"/>
      <c r="I29" s="150"/>
      <c r="J29" s="67"/>
      <c r="K29" s="151"/>
      <c r="L29" s="45"/>
      <c r="M29" s="148"/>
      <c r="N29" s="149"/>
      <c r="O29" s="45"/>
      <c r="P29" s="67"/>
      <c r="Q29" s="152"/>
      <c r="R29" s="37"/>
      <c r="S29" s="150"/>
      <c r="T29" s="67"/>
      <c r="U29" s="151"/>
      <c r="V29" s="45"/>
      <c r="W29" s="148"/>
      <c r="X29" s="149"/>
      <c r="Y29" s="45"/>
      <c r="Z29" s="67"/>
      <c r="AA29" s="152"/>
      <c r="AB29" s="37"/>
      <c r="AC29" s="150"/>
      <c r="AD29" s="67"/>
      <c r="AE29" s="151"/>
      <c r="AF29" s="45"/>
      <c r="AG29" s="148"/>
      <c r="AH29" s="149"/>
      <c r="AI29" s="45"/>
      <c r="AJ29" s="67"/>
      <c r="AK29" s="152"/>
      <c r="AL29" s="37"/>
      <c r="AM29" s="150"/>
      <c r="AN29" s="67"/>
      <c r="AO29" s="151"/>
      <c r="AP29" s="45"/>
      <c r="AQ29" s="148"/>
      <c r="AR29" s="149"/>
      <c r="AS29" s="45"/>
      <c r="AT29" s="67"/>
      <c r="AU29" s="152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</row>
    <row r="30">
      <c r="A30" s="37"/>
      <c r="B30" s="37"/>
      <c r="C30" s="37"/>
      <c r="E30" s="37"/>
      <c r="F30" s="37"/>
      <c r="G30" s="37"/>
      <c r="H30" s="37"/>
      <c r="I30" s="37"/>
      <c r="K30" s="37"/>
      <c r="M30" s="37"/>
      <c r="N30" s="37"/>
      <c r="Q30" s="37"/>
      <c r="R30" s="37"/>
      <c r="S30" s="37"/>
      <c r="U30" s="37"/>
      <c r="W30" s="37"/>
      <c r="X30" s="37"/>
      <c r="AA30" s="37"/>
      <c r="AB30" s="37"/>
      <c r="AC30" s="37"/>
      <c r="AE30" s="37"/>
      <c r="AG30" s="37"/>
      <c r="AH30" s="37"/>
      <c r="AK30" s="37"/>
      <c r="AL30" s="37"/>
      <c r="AM30" s="37"/>
      <c r="AO30" s="37"/>
      <c r="AQ30" s="37"/>
      <c r="AR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</row>
    <row r="32">
      <c r="A32" s="37"/>
      <c r="B32" s="85" t="s">
        <v>90</v>
      </c>
      <c r="C32" s="86" t="s">
        <v>62</v>
      </c>
      <c r="D32" s="87"/>
      <c r="E32" s="88" t="s">
        <v>63</v>
      </c>
      <c r="F32" s="40"/>
      <c r="G32" s="41"/>
      <c r="H32" s="37"/>
      <c r="I32" s="85" t="s">
        <v>64</v>
      </c>
      <c r="J32" s="87"/>
      <c r="K32" s="86" t="s">
        <v>65</v>
      </c>
      <c r="L32" s="87"/>
      <c r="M32" s="86" t="s">
        <v>66</v>
      </c>
      <c r="N32" s="86" t="s">
        <v>67</v>
      </c>
      <c r="O32" s="40"/>
      <c r="P32" s="87"/>
      <c r="Q32" s="89" t="s">
        <v>68</v>
      </c>
      <c r="R32" s="37"/>
      <c r="S32" s="85"/>
      <c r="T32" s="87"/>
      <c r="U32" s="86"/>
      <c r="V32" s="87"/>
      <c r="W32" s="86"/>
      <c r="X32" s="86"/>
      <c r="Y32" s="40"/>
      <c r="Z32" s="87"/>
      <c r="AA32" s="89"/>
      <c r="AB32" s="37"/>
      <c r="AC32" s="85"/>
      <c r="AD32" s="87"/>
      <c r="AE32" s="86"/>
      <c r="AF32" s="87"/>
      <c r="AG32" s="86"/>
      <c r="AH32" s="86"/>
      <c r="AI32" s="40"/>
      <c r="AJ32" s="87"/>
      <c r="AK32" s="89"/>
      <c r="AL32" s="37"/>
      <c r="AM32" s="85"/>
      <c r="AN32" s="87"/>
      <c r="AO32" s="86"/>
      <c r="AP32" s="87"/>
      <c r="AQ32" s="86"/>
      <c r="AR32" s="86"/>
      <c r="AS32" s="40"/>
      <c r="AT32" s="87"/>
      <c r="AU32" s="89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</row>
    <row r="33">
      <c r="A33" s="153"/>
      <c r="B33" s="42"/>
      <c r="C33" s="90"/>
      <c r="D33" s="25"/>
      <c r="E33" s="90"/>
      <c r="G33" s="43"/>
      <c r="H33" s="37"/>
      <c r="I33" s="42"/>
      <c r="J33" s="25"/>
      <c r="K33" s="90"/>
      <c r="L33" s="25"/>
      <c r="M33" s="90"/>
      <c r="N33" s="90"/>
      <c r="P33" s="25"/>
      <c r="Q33" s="91"/>
      <c r="R33" s="37"/>
      <c r="S33" s="42"/>
      <c r="T33" s="25"/>
      <c r="U33" s="90"/>
      <c r="V33" s="25"/>
      <c r="W33" s="90"/>
      <c r="X33" s="90"/>
      <c r="Z33" s="25"/>
      <c r="AA33" s="91"/>
      <c r="AB33" s="37"/>
      <c r="AC33" s="42"/>
      <c r="AD33" s="25"/>
      <c r="AE33" s="90"/>
      <c r="AF33" s="25"/>
      <c r="AG33" s="90"/>
      <c r="AH33" s="90"/>
      <c r="AJ33" s="25"/>
      <c r="AK33" s="91"/>
      <c r="AL33" s="37"/>
      <c r="AM33" s="42"/>
      <c r="AN33" s="25"/>
      <c r="AO33" s="90"/>
      <c r="AP33" s="25"/>
      <c r="AQ33" s="90"/>
      <c r="AR33" s="90"/>
      <c r="AT33" s="25"/>
      <c r="AU33" s="91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</row>
    <row r="34">
      <c r="A34" s="153"/>
      <c r="B34" s="92"/>
      <c r="C34" s="27"/>
      <c r="D34" s="28"/>
      <c r="E34" s="27"/>
      <c r="F34" s="22"/>
      <c r="G34" s="93"/>
      <c r="H34" s="37"/>
      <c r="I34" s="92"/>
      <c r="J34" s="28"/>
      <c r="K34" s="27"/>
      <c r="L34" s="28"/>
      <c r="M34" s="27"/>
      <c r="N34" s="27"/>
      <c r="O34" s="22"/>
      <c r="P34" s="28"/>
      <c r="Q34" s="94"/>
      <c r="R34" s="37"/>
      <c r="S34" s="92"/>
      <c r="T34" s="28"/>
      <c r="U34" s="27"/>
      <c r="V34" s="28"/>
      <c r="W34" s="27"/>
      <c r="X34" s="27"/>
      <c r="Y34" s="22"/>
      <c r="Z34" s="28"/>
      <c r="AA34" s="94"/>
      <c r="AB34" s="37"/>
      <c r="AC34" s="92"/>
      <c r="AD34" s="28"/>
      <c r="AE34" s="27"/>
      <c r="AF34" s="28"/>
      <c r="AG34" s="27"/>
      <c r="AH34" s="27"/>
      <c r="AI34" s="22"/>
      <c r="AJ34" s="28"/>
      <c r="AK34" s="94"/>
      <c r="AL34" s="37"/>
      <c r="AM34" s="92"/>
      <c r="AN34" s="28"/>
      <c r="AO34" s="27"/>
      <c r="AP34" s="28"/>
      <c r="AQ34" s="27"/>
      <c r="AR34" s="27"/>
      <c r="AS34" s="22"/>
      <c r="AT34" s="28"/>
      <c r="AU34" s="94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</row>
    <row r="35">
      <c r="A35" s="153"/>
      <c r="B35" s="95" t="s">
        <v>91</v>
      </c>
      <c r="C35" s="96" t="s">
        <v>92</v>
      </c>
      <c r="D35" s="25"/>
      <c r="E35" s="102"/>
      <c r="G35" s="43"/>
      <c r="H35" s="37"/>
      <c r="I35" s="98" t="s">
        <v>78</v>
      </c>
      <c r="J35" s="25"/>
      <c r="K35" s="142" t="s">
        <v>79</v>
      </c>
      <c r="M35" s="96">
        <v>0.0</v>
      </c>
      <c r="N35" s="100" t="s">
        <v>73</v>
      </c>
      <c r="P35" s="25"/>
      <c r="Q35" s="101">
        <v>3202.0</v>
      </c>
      <c r="R35" s="37"/>
      <c r="S35" s="98"/>
      <c r="T35" s="25"/>
      <c r="U35" s="142"/>
      <c r="W35" s="96"/>
      <c r="X35" s="102"/>
      <c r="Z35" s="25"/>
      <c r="AA35" s="101"/>
      <c r="AB35" s="37"/>
      <c r="AC35" s="98"/>
      <c r="AD35" s="25"/>
      <c r="AE35" s="142"/>
      <c r="AG35" s="96"/>
      <c r="AH35" s="102"/>
      <c r="AJ35" s="25"/>
      <c r="AK35" s="101"/>
      <c r="AL35" s="37"/>
      <c r="AM35" s="98"/>
      <c r="AN35" s="25"/>
      <c r="AO35" s="142"/>
      <c r="AQ35" s="96"/>
      <c r="AR35" s="102"/>
      <c r="AT35" s="25"/>
      <c r="AU35" s="101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</row>
    <row r="36">
      <c r="A36" s="37"/>
      <c r="B36" s="135" t="s">
        <v>93</v>
      </c>
      <c r="C36" s="154" t="s">
        <v>94</v>
      </c>
      <c r="D36" s="25"/>
      <c r="E36" s="123" t="s">
        <v>82</v>
      </c>
      <c r="G36" s="43"/>
      <c r="H36" s="112"/>
      <c r="I36" s="137" t="s">
        <v>78</v>
      </c>
      <c r="J36" s="25"/>
      <c r="K36" s="155" t="s">
        <v>79</v>
      </c>
      <c r="M36" s="104">
        <v>0.0</v>
      </c>
      <c r="N36" s="123" t="s">
        <v>73</v>
      </c>
      <c r="P36" s="25"/>
      <c r="Q36" s="156">
        <v>3101.0</v>
      </c>
      <c r="R36" s="112"/>
      <c r="S36" s="137"/>
      <c r="T36" s="25"/>
      <c r="U36" s="155"/>
      <c r="W36" s="157"/>
      <c r="X36" s="139"/>
      <c r="Z36" s="25"/>
      <c r="AA36" s="156"/>
      <c r="AB36" s="112"/>
      <c r="AC36" s="137"/>
      <c r="AD36" s="25"/>
      <c r="AE36" s="155"/>
      <c r="AG36" s="157"/>
      <c r="AH36" s="139"/>
      <c r="AJ36" s="25"/>
      <c r="AK36" s="156"/>
      <c r="AL36" s="112"/>
      <c r="AM36" s="137"/>
      <c r="AN36" s="25"/>
      <c r="AO36" s="155"/>
      <c r="AQ36" s="157"/>
      <c r="AR36" s="139"/>
      <c r="AT36" s="25"/>
      <c r="AU36" s="156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</row>
    <row r="37">
      <c r="A37" s="37"/>
      <c r="B37" s="109" t="s">
        <v>95</v>
      </c>
      <c r="C37" s="110" t="s">
        <v>96</v>
      </c>
      <c r="D37" s="25"/>
      <c r="E37" s="111"/>
      <c r="G37" s="43"/>
      <c r="H37" s="112"/>
      <c r="I37" s="113" t="s">
        <v>78</v>
      </c>
      <c r="J37" s="25"/>
      <c r="K37" s="114" t="s">
        <v>79</v>
      </c>
      <c r="M37" s="96">
        <v>0.0</v>
      </c>
      <c r="N37" s="100" t="s">
        <v>97</v>
      </c>
      <c r="P37" s="25"/>
      <c r="Q37" s="116">
        <v>3101.0</v>
      </c>
      <c r="R37" s="112"/>
      <c r="S37" s="113"/>
      <c r="T37" s="25"/>
      <c r="U37" s="114"/>
      <c r="W37" s="158"/>
      <c r="X37" s="111"/>
      <c r="Z37" s="25"/>
      <c r="AA37" s="116"/>
      <c r="AB37" s="112"/>
      <c r="AC37" s="113"/>
      <c r="AD37" s="25"/>
      <c r="AE37" s="114"/>
      <c r="AG37" s="158"/>
      <c r="AH37" s="111"/>
      <c r="AJ37" s="25"/>
      <c r="AK37" s="116"/>
      <c r="AL37" s="112"/>
      <c r="AM37" s="113"/>
      <c r="AN37" s="25"/>
      <c r="AO37" s="114"/>
      <c r="AQ37" s="158"/>
      <c r="AR37" s="111"/>
      <c r="AT37" s="25"/>
      <c r="AU37" s="116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</row>
    <row r="38">
      <c r="A38" s="37"/>
      <c r="B38" s="103" t="s">
        <v>98</v>
      </c>
      <c r="C38" s="104" t="s">
        <v>99</v>
      </c>
      <c r="D38" s="25"/>
      <c r="E38" s="105"/>
      <c r="G38" s="43"/>
      <c r="H38" s="37"/>
      <c r="I38" s="106">
        <v>2.0</v>
      </c>
      <c r="J38" s="25"/>
      <c r="K38" s="107">
        <v>45510.0</v>
      </c>
      <c r="M38" s="104">
        <v>2.0</v>
      </c>
      <c r="N38" s="105"/>
      <c r="P38" s="25"/>
      <c r="Q38" s="108"/>
      <c r="R38" s="37"/>
      <c r="S38" s="106"/>
      <c r="T38" s="25"/>
      <c r="U38" s="107"/>
      <c r="W38" s="104"/>
      <c r="X38" s="105"/>
      <c r="Z38" s="25"/>
      <c r="AA38" s="108"/>
      <c r="AB38" s="37"/>
      <c r="AC38" s="106"/>
      <c r="AD38" s="25"/>
      <c r="AE38" s="107"/>
      <c r="AG38" s="104"/>
      <c r="AH38" s="105"/>
      <c r="AJ38" s="25"/>
      <c r="AK38" s="108"/>
      <c r="AL38" s="37"/>
      <c r="AM38" s="106"/>
      <c r="AN38" s="25"/>
      <c r="AO38" s="107"/>
      <c r="AQ38" s="104"/>
      <c r="AR38" s="105"/>
      <c r="AT38" s="25"/>
      <c r="AU38" s="108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</row>
    <row r="39">
      <c r="A39" s="37"/>
      <c r="B39" s="141" t="s">
        <v>100</v>
      </c>
      <c r="C39" s="115" t="s">
        <v>94</v>
      </c>
      <c r="D39" s="25"/>
      <c r="E39" s="97" t="s">
        <v>82</v>
      </c>
      <c r="G39" s="43"/>
      <c r="H39" s="37"/>
      <c r="I39" s="117">
        <v>2.0</v>
      </c>
      <c r="J39" s="25"/>
      <c r="K39" s="118">
        <v>45634.0</v>
      </c>
      <c r="M39" s="96">
        <v>0.0</v>
      </c>
      <c r="N39" s="119"/>
      <c r="P39" s="25"/>
      <c r="Q39" s="120"/>
      <c r="R39" s="37"/>
      <c r="S39" s="117"/>
      <c r="T39" s="25"/>
      <c r="U39" s="118"/>
      <c r="W39" s="115"/>
      <c r="X39" s="119"/>
      <c r="Z39" s="25"/>
      <c r="AA39" s="120"/>
      <c r="AB39" s="37"/>
      <c r="AC39" s="117"/>
      <c r="AD39" s="25"/>
      <c r="AE39" s="118"/>
      <c r="AG39" s="115"/>
      <c r="AH39" s="119"/>
      <c r="AJ39" s="25"/>
      <c r="AK39" s="120"/>
      <c r="AL39" s="37"/>
      <c r="AM39" s="117"/>
      <c r="AN39" s="25"/>
      <c r="AO39" s="118"/>
      <c r="AQ39" s="115"/>
      <c r="AR39" s="119"/>
      <c r="AT39" s="25"/>
      <c r="AU39" s="120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</row>
    <row r="40">
      <c r="A40" s="37"/>
      <c r="B40" s="103" t="s">
        <v>101</v>
      </c>
      <c r="C40" s="104" t="s">
        <v>102</v>
      </c>
      <c r="D40" s="25"/>
      <c r="E40" s="123"/>
      <c r="G40" s="43"/>
      <c r="H40" s="37"/>
      <c r="I40" s="106">
        <v>2.0</v>
      </c>
      <c r="J40" s="25"/>
      <c r="K40" s="107">
        <v>45999.0</v>
      </c>
      <c r="M40" s="104">
        <v>0.0</v>
      </c>
      <c r="N40" s="105"/>
      <c r="P40" s="25"/>
      <c r="Q40" s="108">
        <v>3100.0</v>
      </c>
      <c r="R40" s="37"/>
      <c r="S40" s="106"/>
      <c r="T40" s="25"/>
      <c r="U40" s="128"/>
      <c r="W40" s="104"/>
      <c r="X40" s="105"/>
      <c r="Z40" s="25"/>
      <c r="AA40" s="108"/>
      <c r="AB40" s="37"/>
      <c r="AC40" s="106"/>
      <c r="AD40" s="25"/>
      <c r="AE40" s="128"/>
      <c r="AG40" s="104"/>
      <c r="AH40" s="105"/>
      <c r="AJ40" s="25"/>
      <c r="AK40" s="108"/>
      <c r="AL40" s="37"/>
      <c r="AM40" s="106"/>
      <c r="AN40" s="25"/>
      <c r="AO40" s="128"/>
      <c r="AQ40" s="104"/>
      <c r="AR40" s="105"/>
      <c r="AT40" s="25"/>
      <c r="AU40" s="108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</row>
    <row r="41">
      <c r="A41" s="37"/>
      <c r="B41" s="159"/>
      <c r="C41" s="115"/>
      <c r="D41" s="25"/>
      <c r="E41" s="119"/>
      <c r="G41" s="43"/>
      <c r="H41" s="37"/>
      <c r="I41" s="117"/>
      <c r="J41" s="25"/>
      <c r="K41" s="118"/>
      <c r="M41" s="115"/>
      <c r="N41" s="119"/>
      <c r="P41" s="25"/>
      <c r="Q41" s="120"/>
      <c r="R41" s="37"/>
      <c r="S41" s="117"/>
      <c r="T41" s="25"/>
      <c r="U41" s="118"/>
      <c r="W41" s="115"/>
      <c r="X41" s="119"/>
      <c r="Z41" s="25"/>
      <c r="AA41" s="120"/>
      <c r="AB41" s="37"/>
      <c r="AC41" s="117"/>
      <c r="AD41" s="25"/>
      <c r="AE41" s="118"/>
      <c r="AG41" s="115"/>
      <c r="AH41" s="119"/>
      <c r="AJ41" s="25"/>
      <c r="AK41" s="120"/>
      <c r="AL41" s="37"/>
      <c r="AM41" s="117"/>
      <c r="AN41" s="25"/>
      <c r="AO41" s="118"/>
      <c r="AQ41" s="115"/>
      <c r="AR41" s="119"/>
      <c r="AT41" s="25"/>
      <c r="AU41" s="120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</row>
    <row r="42">
      <c r="A42" s="37"/>
      <c r="B42" s="146"/>
      <c r="C42" s="104"/>
      <c r="D42" s="25"/>
      <c r="E42" s="105"/>
      <c r="G42" s="43"/>
      <c r="H42" s="37"/>
      <c r="I42" s="106"/>
      <c r="J42" s="25"/>
      <c r="K42" s="143"/>
      <c r="M42" s="104"/>
      <c r="N42" s="105"/>
      <c r="P42" s="25"/>
      <c r="Q42" s="108"/>
      <c r="R42" s="37"/>
      <c r="S42" s="106"/>
      <c r="T42" s="25"/>
      <c r="U42" s="143"/>
      <c r="W42" s="104"/>
      <c r="X42" s="105"/>
      <c r="Z42" s="25"/>
      <c r="AA42" s="108"/>
      <c r="AB42" s="37"/>
      <c r="AC42" s="106"/>
      <c r="AD42" s="25"/>
      <c r="AE42" s="143"/>
      <c r="AG42" s="104"/>
      <c r="AH42" s="105"/>
      <c r="AJ42" s="25"/>
      <c r="AK42" s="108"/>
      <c r="AL42" s="37"/>
      <c r="AM42" s="106"/>
      <c r="AN42" s="25"/>
      <c r="AO42" s="143"/>
      <c r="AQ42" s="104"/>
      <c r="AR42" s="105"/>
      <c r="AT42" s="25"/>
      <c r="AU42" s="108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</row>
    <row r="43">
      <c r="A43" s="37"/>
      <c r="B43" s="144"/>
      <c r="C43" s="96"/>
      <c r="D43" s="25"/>
      <c r="E43" s="102"/>
      <c r="G43" s="43"/>
      <c r="H43" s="37"/>
      <c r="I43" s="98"/>
      <c r="J43" s="25"/>
      <c r="K43" s="145"/>
      <c r="M43" s="96"/>
      <c r="N43" s="102"/>
      <c r="P43" s="25"/>
      <c r="Q43" s="101"/>
      <c r="R43" s="37"/>
      <c r="S43" s="98"/>
      <c r="T43" s="25"/>
      <c r="U43" s="145"/>
      <c r="W43" s="96"/>
      <c r="X43" s="102"/>
      <c r="Z43" s="25"/>
      <c r="AA43" s="101"/>
      <c r="AB43" s="37"/>
      <c r="AC43" s="98"/>
      <c r="AD43" s="25"/>
      <c r="AE43" s="145"/>
      <c r="AG43" s="96"/>
      <c r="AH43" s="102"/>
      <c r="AJ43" s="25"/>
      <c r="AK43" s="101"/>
      <c r="AL43" s="37"/>
      <c r="AM43" s="98"/>
      <c r="AN43" s="25"/>
      <c r="AO43" s="145"/>
      <c r="AQ43" s="96"/>
      <c r="AR43" s="102"/>
      <c r="AT43" s="25"/>
      <c r="AU43" s="101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</row>
    <row r="44">
      <c r="A44" s="37"/>
      <c r="B44" s="146"/>
      <c r="C44" s="104"/>
      <c r="D44" s="25"/>
      <c r="E44" s="105"/>
      <c r="G44" s="43"/>
      <c r="H44" s="37"/>
      <c r="I44" s="106"/>
      <c r="J44" s="25"/>
      <c r="K44" s="143"/>
      <c r="M44" s="104"/>
      <c r="N44" s="105"/>
      <c r="P44" s="25"/>
      <c r="Q44" s="108"/>
      <c r="R44" s="37"/>
      <c r="S44" s="106"/>
      <c r="T44" s="25"/>
      <c r="U44" s="143"/>
      <c r="W44" s="104"/>
      <c r="X44" s="105"/>
      <c r="Z44" s="25"/>
      <c r="AA44" s="108"/>
      <c r="AB44" s="37"/>
      <c r="AC44" s="106"/>
      <c r="AD44" s="25"/>
      <c r="AE44" s="143"/>
      <c r="AG44" s="104"/>
      <c r="AH44" s="105"/>
      <c r="AJ44" s="25"/>
      <c r="AK44" s="108"/>
      <c r="AL44" s="37"/>
      <c r="AM44" s="106"/>
      <c r="AN44" s="25"/>
      <c r="AO44" s="143"/>
      <c r="AQ44" s="104"/>
      <c r="AR44" s="105"/>
      <c r="AT44" s="25"/>
      <c r="AU44" s="108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</row>
    <row r="45">
      <c r="A45" s="37"/>
      <c r="B45" s="144"/>
      <c r="C45" s="96"/>
      <c r="D45" s="25"/>
      <c r="E45" s="102"/>
      <c r="G45" s="43"/>
      <c r="H45" s="37"/>
      <c r="I45" s="98"/>
      <c r="J45" s="25"/>
      <c r="K45" s="145"/>
      <c r="M45" s="96"/>
      <c r="N45" s="102"/>
      <c r="P45" s="25"/>
      <c r="Q45" s="101"/>
      <c r="R45" s="37"/>
      <c r="S45" s="98"/>
      <c r="T45" s="25"/>
      <c r="U45" s="145"/>
      <c r="W45" s="96"/>
      <c r="X45" s="102"/>
      <c r="Z45" s="25"/>
      <c r="AA45" s="101"/>
      <c r="AB45" s="37"/>
      <c r="AC45" s="98"/>
      <c r="AD45" s="25"/>
      <c r="AE45" s="145"/>
      <c r="AG45" s="96"/>
      <c r="AH45" s="102"/>
      <c r="AJ45" s="25"/>
      <c r="AK45" s="101"/>
      <c r="AL45" s="37"/>
      <c r="AM45" s="98"/>
      <c r="AN45" s="25"/>
      <c r="AO45" s="145"/>
      <c r="AQ45" s="96"/>
      <c r="AR45" s="102"/>
      <c r="AT45" s="25"/>
      <c r="AU45" s="101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</row>
    <row r="46">
      <c r="A46" s="37"/>
      <c r="B46" s="146"/>
      <c r="C46" s="104"/>
      <c r="D46" s="25"/>
      <c r="E46" s="105"/>
      <c r="G46" s="43"/>
      <c r="H46" s="37"/>
      <c r="I46" s="106"/>
      <c r="J46" s="25"/>
      <c r="K46" s="143"/>
      <c r="M46" s="104"/>
      <c r="N46" s="105"/>
      <c r="P46" s="25"/>
      <c r="Q46" s="108"/>
      <c r="R46" s="37"/>
      <c r="S46" s="106"/>
      <c r="T46" s="25"/>
      <c r="U46" s="143"/>
      <c r="W46" s="104"/>
      <c r="X46" s="105"/>
      <c r="Z46" s="25"/>
      <c r="AA46" s="108"/>
      <c r="AB46" s="37"/>
      <c r="AC46" s="106"/>
      <c r="AD46" s="25"/>
      <c r="AE46" s="143"/>
      <c r="AG46" s="104"/>
      <c r="AH46" s="105"/>
      <c r="AJ46" s="25"/>
      <c r="AK46" s="108"/>
      <c r="AL46" s="37"/>
      <c r="AM46" s="106"/>
      <c r="AN46" s="25"/>
      <c r="AO46" s="143"/>
      <c r="AQ46" s="104"/>
      <c r="AR46" s="105"/>
      <c r="AT46" s="25"/>
      <c r="AU46" s="108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</row>
    <row r="47">
      <c r="A47" s="37"/>
      <c r="B47" s="147"/>
      <c r="C47" s="148"/>
      <c r="D47" s="67"/>
      <c r="E47" s="149"/>
      <c r="F47" s="45"/>
      <c r="G47" s="46"/>
      <c r="H47" s="37"/>
      <c r="I47" s="150"/>
      <c r="J47" s="67"/>
      <c r="K47" s="151"/>
      <c r="L47" s="45"/>
      <c r="M47" s="148"/>
      <c r="N47" s="149"/>
      <c r="O47" s="45"/>
      <c r="P47" s="67"/>
      <c r="Q47" s="152"/>
      <c r="R47" s="37"/>
      <c r="S47" s="150"/>
      <c r="T47" s="67"/>
      <c r="U47" s="151"/>
      <c r="V47" s="45"/>
      <c r="W47" s="148"/>
      <c r="X47" s="149"/>
      <c r="Y47" s="45"/>
      <c r="Z47" s="67"/>
      <c r="AA47" s="152"/>
      <c r="AB47" s="37"/>
      <c r="AC47" s="150"/>
      <c r="AD47" s="67"/>
      <c r="AE47" s="151"/>
      <c r="AF47" s="45"/>
      <c r="AG47" s="148"/>
      <c r="AH47" s="149"/>
      <c r="AI47" s="45"/>
      <c r="AJ47" s="67"/>
      <c r="AK47" s="152"/>
      <c r="AL47" s="37"/>
      <c r="AM47" s="150"/>
      <c r="AN47" s="67"/>
      <c r="AO47" s="151"/>
      <c r="AP47" s="45"/>
      <c r="AQ47" s="148"/>
      <c r="AR47" s="149"/>
      <c r="AS47" s="45"/>
      <c r="AT47" s="67"/>
      <c r="AU47" s="152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</row>
    <row r="50">
      <c r="A50" s="37"/>
      <c r="B50" s="85" t="s">
        <v>103</v>
      </c>
      <c r="C50" s="160" t="s">
        <v>62</v>
      </c>
      <c r="D50" s="87"/>
      <c r="E50" s="88" t="s">
        <v>63</v>
      </c>
      <c r="F50" s="40"/>
      <c r="G50" s="41"/>
      <c r="H50" s="31"/>
      <c r="I50" s="161" t="s">
        <v>64</v>
      </c>
      <c r="J50" s="87"/>
      <c r="K50" s="160" t="s">
        <v>65</v>
      </c>
      <c r="L50" s="87"/>
      <c r="M50" s="160" t="s">
        <v>66</v>
      </c>
      <c r="N50" s="160" t="s">
        <v>67</v>
      </c>
      <c r="O50" s="40"/>
      <c r="P50" s="87"/>
      <c r="Q50" s="162" t="s">
        <v>68</v>
      </c>
      <c r="R50" s="31"/>
      <c r="S50" s="161"/>
      <c r="T50" s="87"/>
      <c r="U50" s="160"/>
      <c r="V50" s="87"/>
      <c r="W50" s="160"/>
      <c r="X50" s="160"/>
      <c r="Y50" s="40"/>
      <c r="Z50" s="87"/>
      <c r="AA50" s="162"/>
      <c r="AB50" s="31"/>
      <c r="AC50" s="161"/>
      <c r="AD50" s="87"/>
      <c r="AE50" s="160"/>
      <c r="AF50" s="87"/>
      <c r="AG50" s="160"/>
      <c r="AH50" s="160"/>
      <c r="AI50" s="40"/>
      <c r="AJ50" s="87"/>
      <c r="AK50" s="162"/>
      <c r="AL50" s="31"/>
      <c r="AM50" s="161"/>
      <c r="AN50" s="87"/>
      <c r="AO50" s="160"/>
      <c r="AP50" s="87"/>
      <c r="AQ50" s="160"/>
      <c r="AR50" s="160"/>
      <c r="AS50" s="40"/>
      <c r="AT50" s="87"/>
      <c r="AU50" s="162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</row>
    <row r="51">
      <c r="A51" s="37"/>
      <c r="B51" s="42"/>
      <c r="C51" s="90"/>
      <c r="D51" s="25"/>
      <c r="E51" s="90"/>
      <c r="G51" s="43"/>
      <c r="H51" s="31"/>
      <c r="I51" s="42"/>
      <c r="J51" s="25"/>
      <c r="K51" s="90"/>
      <c r="L51" s="25"/>
      <c r="M51" s="90"/>
      <c r="N51" s="90"/>
      <c r="P51" s="25"/>
      <c r="Q51" s="91"/>
      <c r="R51" s="31"/>
      <c r="S51" s="42"/>
      <c r="T51" s="25"/>
      <c r="U51" s="90"/>
      <c r="V51" s="25"/>
      <c r="W51" s="90"/>
      <c r="X51" s="90"/>
      <c r="Z51" s="25"/>
      <c r="AA51" s="91"/>
      <c r="AB51" s="31"/>
      <c r="AC51" s="42"/>
      <c r="AD51" s="25"/>
      <c r="AE51" s="90"/>
      <c r="AF51" s="25"/>
      <c r="AG51" s="90"/>
      <c r="AH51" s="90"/>
      <c r="AJ51" s="25"/>
      <c r="AK51" s="91"/>
      <c r="AL51" s="31"/>
      <c r="AM51" s="42"/>
      <c r="AN51" s="25"/>
      <c r="AO51" s="90"/>
      <c r="AP51" s="25"/>
      <c r="AQ51" s="90"/>
      <c r="AR51" s="90"/>
      <c r="AT51" s="25"/>
      <c r="AU51" s="91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</row>
    <row r="52">
      <c r="A52" s="37"/>
      <c r="B52" s="92"/>
      <c r="C52" s="27"/>
      <c r="D52" s="28"/>
      <c r="E52" s="27"/>
      <c r="F52" s="22"/>
      <c r="G52" s="93"/>
      <c r="H52" s="31"/>
      <c r="I52" s="92"/>
      <c r="J52" s="28"/>
      <c r="K52" s="27"/>
      <c r="L52" s="28"/>
      <c r="M52" s="27"/>
      <c r="N52" s="27"/>
      <c r="O52" s="22"/>
      <c r="P52" s="28"/>
      <c r="Q52" s="94"/>
      <c r="R52" s="31"/>
      <c r="S52" s="92"/>
      <c r="T52" s="28"/>
      <c r="U52" s="27"/>
      <c r="V52" s="28"/>
      <c r="W52" s="27"/>
      <c r="X52" s="27"/>
      <c r="Y52" s="22"/>
      <c r="Z52" s="28"/>
      <c r="AA52" s="94"/>
      <c r="AB52" s="31"/>
      <c r="AC52" s="92"/>
      <c r="AD52" s="28"/>
      <c r="AE52" s="27"/>
      <c r="AF52" s="28"/>
      <c r="AG52" s="27"/>
      <c r="AH52" s="27"/>
      <c r="AI52" s="22"/>
      <c r="AJ52" s="28"/>
      <c r="AK52" s="94"/>
      <c r="AL52" s="31"/>
      <c r="AM52" s="92"/>
      <c r="AN52" s="28"/>
      <c r="AO52" s="27"/>
      <c r="AP52" s="28"/>
      <c r="AQ52" s="27"/>
      <c r="AR52" s="27"/>
      <c r="AS52" s="22"/>
      <c r="AT52" s="28"/>
      <c r="AU52" s="94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</row>
    <row r="53">
      <c r="A53" s="37"/>
      <c r="B53" s="163" t="s">
        <v>104</v>
      </c>
      <c r="C53" s="164" t="s">
        <v>70</v>
      </c>
      <c r="D53" s="25"/>
      <c r="E53" s="165"/>
      <c r="G53" s="43"/>
      <c r="H53" s="112"/>
      <c r="I53" s="166" t="s">
        <v>72</v>
      </c>
      <c r="J53" s="25"/>
      <c r="K53" s="167" t="s">
        <v>79</v>
      </c>
      <c r="M53" s="96">
        <v>0.0</v>
      </c>
      <c r="N53" s="100" t="s">
        <v>97</v>
      </c>
      <c r="P53" s="25"/>
      <c r="Q53" s="168"/>
      <c r="R53" s="112"/>
      <c r="S53" s="166"/>
      <c r="T53" s="25"/>
      <c r="U53" s="167"/>
      <c r="W53" s="169"/>
      <c r="X53" s="165"/>
      <c r="Z53" s="25"/>
      <c r="AA53" s="168"/>
      <c r="AB53" s="112"/>
      <c r="AC53" s="166"/>
      <c r="AD53" s="25"/>
      <c r="AE53" s="167"/>
      <c r="AG53" s="169"/>
      <c r="AH53" s="165"/>
      <c r="AJ53" s="25"/>
      <c r="AK53" s="168"/>
      <c r="AL53" s="112"/>
      <c r="AM53" s="166"/>
      <c r="AN53" s="25"/>
      <c r="AO53" s="167"/>
      <c r="AQ53" s="169"/>
      <c r="AR53" s="165"/>
      <c r="AT53" s="25"/>
      <c r="AU53" s="168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</row>
    <row r="54">
      <c r="A54" s="37"/>
      <c r="B54" s="121" t="s">
        <v>105</v>
      </c>
      <c r="C54" s="170" t="s">
        <v>84</v>
      </c>
      <c r="D54" s="25"/>
      <c r="E54" s="123"/>
      <c r="G54" s="43"/>
      <c r="H54" s="112"/>
      <c r="I54" s="124">
        <v>2.0</v>
      </c>
      <c r="J54" s="25"/>
      <c r="K54" s="125">
        <v>45875.0</v>
      </c>
      <c r="M54" s="104">
        <v>0.0</v>
      </c>
      <c r="N54" s="126"/>
      <c r="P54" s="25"/>
      <c r="Q54" s="127"/>
      <c r="R54" s="112"/>
      <c r="S54" s="171"/>
      <c r="T54" s="25"/>
      <c r="U54" s="125"/>
      <c r="W54" s="172"/>
      <c r="X54" s="126"/>
      <c r="Z54" s="25"/>
      <c r="AA54" s="127"/>
      <c r="AB54" s="112"/>
      <c r="AC54" s="171"/>
      <c r="AD54" s="25"/>
      <c r="AE54" s="125"/>
      <c r="AG54" s="172"/>
      <c r="AH54" s="126"/>
      <c r="AJ54" s="25"/>
      <c r="AK54" s="127"/>
      <c r="AL54" s="112"/>
      <c r="AM54" s="171"/>
      <c r="AN54" s="25"/>
      <c r="AO54" s="125"/>
      <c r="AQ54" s="172"/>
      <c r="AR54" s="126"/>
      <c r="AT54" s="25"/>
      <c r="AU54" s="12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</row>
    <row r="55">
      <c r="A55" s="37"/>
      <c r="B55" s="129" t="s">
        <v>106</v>
      </c>
      <c r="C55" s="173" t="s">
        <v>84</v>
      </c>
      <c r="D55" s="25"/>
      <c r="E55" s="131"/>
      <c r="G55" s="43"/>
      <c r="H55" s="112"/>
      <c r="I55" s="132">
        <v>2.0</v>
      </c>
      <c r="J55" s="25"/>
      <c r="K55" s="174">
        <v>45938.0</v>
      </c>
      <c r="M55" s="96">
        <v>0.0</v>
      </c>
      <c r="N55" s="131"/>
      <c r="P55" s="25"/>
      <c r="Q55" s="116">
        <v>3101.0</v>
      </c>
      <c r="R55" s="112"/>
      <c r="S55" s="175"/>
      <c r="T55" s="25"/>
      <c r="U55" s="133"/>
      <c r="W55" s="176"/>
      <c r="X55" s="131"/>
      <c r="Z55" s="25"/>
      <c r="AA55" s="134"/>
      <c r="AB55" s="112"/>
      <c r="AC55" s="175"/>
      <c r="AD55" s="25"/>
      <c r="AE55" s="133"/>
      <c r="AG55" s="176"/>
      <c r="AH55" s="131"/>
      <c r="AJ55" s="25"/>
      <c r="AK55" s="134"/>
      <c r="AL55" s="112"/>
      <c r="AM55" s="175"/>
      <c r="AN55" s="25"/>
      <c r="AO55" s="133"/>
      <c r="AQ55" s="176"/>
      <c r="AR55" s="131"/>
      <c r="AT55" s="25"/>
      <c r="AU55" s="134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</row>
    <row r="56">
      <c r="A56" s="37"/>
      <c r="B56" s="135" t="s">
        <v>107</v>
      </c>
      <c r="C56" s="154" t="s">
        <v>81</v>
      </c>
      <c r="D56" s="25"/>
      <c r="E56" s="123"/>
      <c r="G56" s="43"/>
      <c r="H56" s="112"/>
      <c r="I56" s="137" t="s">
        <v>72</v>
      </c>
      <c r="J56" s="25"/>
      <c r="K56" s="155" t="s">
        <v>108</v>
      </c>
      <c r="M56" s="104">
        <v>0.0</v>
      </c>
      <c r="N56" s="123" t="s">
        <v>73</v>
      </c>
      <c r="P56" s="25"/>
      <c r="Q56" s="156">
        <v>3101.0</v>
      </c>
      <c r="R56" s="112"/>
      <c r="S56" s="177"/>
      <c r="T56" s="25"/>
      <c r="U56" s="138"/>
      <c r="W56" s="178"/>
      <c r="X56" s="139"/>
      <c r="Z56" s="25"/>
      <c r="AA56" s="140"/>
      <c r="AB56" s="112"/>
      <c r="AC56" s="177"/>
      <c r="AD56" s="25"/>
      <c r="AE56" s="138"/>
      <c r="AG56" s="178"/>
      <c r="AH56" s="139"/>
      <c r="AJ56" s="25"/>
      <c r="AK56" s="140"/>
      <c r="AL56" s="112"/>
      <c r="AM56" s="177"/>
      <c r="AN56" s="25"/>
      <c r="AO56" s="138"/>
      <c r="AQ56" s="178"/>
      <c r="AR56" s="139"/>
      <c r="AT56" s="25"/>
      <c r="AU56" s="140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</row>
    <row r="57">
      <c r="A57" s="37"/>
      <c r="B57" s="109" t="s">
        <v>109</v>
      </c>
      <c r="C57" s="179" t="s">
        <v>75</v>
      </c>
      <c r="D57" s="25"/>
      <c r="E57" s="97" t="s">
        <v>82</v>
      </c>
      <c r="G57" s="43"/>
      <c r="H57" s="112"/>
      <c r="I57" s="113">
        <v>3.0</v>
      </c>
      <c r="J57" s="25"/>
      <c r="K57" s="180">
        <v>45634.0</v>
      </c>
      <c r="M57" s="96">
        <v>0.0</v>
      </c>
      <c r="N57" s="100"/>
      <c r="P57" s="25"/>
      <c r="Q57" s="181"/>
      <c r="R57" s="112"/>
      <c r="S57" s="113"/>
      <c r="T57" s="25"/>
      <c r="U57" s="180"/>
      <c r="W57" s="158"/>
      <c r="X57" s="111"/>
      <c r="Z57" s="25"/>
      <c r="AA57" s="181"/>
      <c r="AB57" s="112"/>
      <c r="AC57" s="113"/>
      <c r="AD57" s="25"/>
      <c r="AE57" s="180"/>
      <c r="AG57" s="158"/>
      <c r="AH57" s="111"/>
      <c r="AJ57" s="25"/>
      <c r="AK57" s="181"/>
      <c r="AL57" s="112"/>
      <c r="AM57" s="113"/>
      <c r="AN57" s="25"/>
      <c r="AO57" s="180"/>
      <c r="AQ57" s="158"/>
      <c r="AR57" s="111"/>
      <c r="AT57" s="25"/>
      <c r="AU57" s="181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</row>
    <row r="58">
      <c r="A58" s="37"/>
      <c r="B58" s="135" t="s">
        <v>110</v>
      </c>
      <c r="C58" s="154" t="s">
        <v>77</v>
      </c>
      <c r="D58" s="25"/>
      <c r="E58" s="139"/>
      <c r="G58" s="43"/>
      <c r="H58" s="112"/>
      <c r="I58" s="137">
        <v>2.0</v>
      </c>
      <c r="J58" s="25"/>
      <c r="K58" s="182">
        <v>45999.0</v>
      </c>
      <c r="M58" s="104">
        <v>0.0</v>
      </c>
      <c r="N58" s="123"/>
      <c r="P58" s="25"/>
      <c r="Q58" s="156"/>
      <c r="R58" s="112"/>
      <c r="S58" s="177"/>
      <c r="T58" s="25"/>
      <c r="U58" s="138"/>
      <c r="W58" s="178"/>
      <c r="X58" s="139"/>
      <c r="Z58" s="25"/>
      <c r="AA58" s="156"/>
      <c r="AB58" s="112"/>
      <c r="AC58" s="177"/>
      <c r="AD58" s="25"/>
      <c r="AE58" s="138"/>
      <c r="AG58" s="178"/>
      <c r="AH58" s="139"/>
      <c r="AJ58" s="25"/>
      <c r="AK58" s="156"/>
      <c r="AL58" s="112"/>
      <c r="AM58" s="177"/>
      <c r="AN58" s="25"/>
      <c r="AO58" s="138"/>
      <c r="AQ58" s="178"/>
      <c r="AR58" s="139"/>
      <c r="AT58" s="25"/>
      <c r="AU58" s="156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</row>
    <row r="59">
      <c r="A59" s="37"/>
      <c r="B59" s="109" t="s">
        <v>111</v>
      </c>
      <c r="C59" s="179" t="s">
        <v>87</v>
      </c>
      <c r="D59" s="25"/>
      <c r="E59" s="111"/>
      <c r="G59" s="43"/>
      <c r="H59" s="112"/>
      <c r="I59" s="113" t="s">
        <v>72</v>
      </c>
      <c r="J59" s="25"/>
      <c r="K59" s="180">
        <v>45634.0</v>
      </c>
      <c r="M59" s="115">
        <v>0.0</v>
      </c>
      <c r="N59" s="97" t="s">
        <v>73</v>
      </c>
      <c r="P59" s="25"/>
      <c r="Q59" s="116">
        <v>3101.0</v>
      </c>
      <c r="R59" s="112"/>
      <c r="S59" s="183"/>
      <c r="T59" s="25"/>
      <c r="U59" s="180"/>
      <c r="W59" s="158"/>
      <c r="X59" s="111"/>
      <c r="Z59" s="25"/>
      <c r="AA59" s="116"/>
      <c r="AB59" s="112"/>
      <c r="AC59" s="183"/>
      <c r="AD59" s="25"/>
      <c r="AE59" s="180"/>
      <c r="AG59" s="158"/>
      <c r="AH59" s="111"/>
      <c r="AJ59" s="25"/>
      <c r="AK59" s="116"/>
      <c r="AL59" s="112"/>
      <c r="AM59" s="183"/>
      <c r="AN59" s="25"/>
      <c r="AO59" s="180"/>
      <c r="AQ59" s="158"/>
      <c r="AR59" s="111"/>
      <c r="AT59" s="25"/>
      <c r="AU59" s="116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</row>
    <row r="60">
      <c r="A60" s="37"/>
      <c r="B60" s="135" t="s">
        <v>112</v>
      </c>
      <c r="C60" s="136" t="s">
        <v>89</v>
      </c>
      <c r="D60" s="25"/>
      <c r="E60" s="139"/>
      <c r="G60" s="43"/>
      <c r="H60" s="112"/>
      <c r="I60" s="137" t="s">
        <v>113</v>
      </c>
      <c r="J60" s="25"/>
      <c r="K60" s="138">
        <v>45634.0</v>
      </c>
      <c r="M60" s="104">
        <v>0.0</v>
      </c>
      <c r="N60" s="123" t="s">
        <v>73</v>
      </c>
      <c r="P60" s="25"/>
      <c r="Q60" s="156">
        <v>3101.0</v>
      </c>
      <c r="R60" s="112"/>
      <c r="S60" s="184"/>
      <c r="T60" s="25"/>
      <c r="U60" s="185"/>
      <c r="W60" s="178"/>
      <c r="X60" s="139"/>
      <c r="Z60" s="25"/>
      <c r="AA60" s="140"/>
      <c r="AB60" s="112"/>
      <c r="AC60" s="184"/>
      <c r="AD60" s="25"/>
      <c r="AE60" s="185"/>
      <c r="AG60" s="178"/>
      <c r="AH60" s="139"/>
      <c r="AJ60" s="25"/>
      <c r="AK60" s="140"/>
      <c r="AL60" s="112"/>
      <c r="AM60" s="184"/>
      <c r="AN60" s="25"/>
      <c r="AO60" s="185"/>
      <c r="AQ60" s="178"/>
      <c r="AR60" s="139"/>
      <c r="AT60" s="25"/>
      <c r="AU60" s="140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</row>
    <row r="61">
      <c r="A61" s="37"/>
      <c r="B61" s="186"/>
      <c r="C61" s="169"/>
      <c r="D61" s="25"/>
      <c r="E61" s="165"/>
      <c r="G61" s="43"/>
      <c r="H61" s="112"/>
      <c r="I61" s="186"/>
      <c r="J61" s="25"/>
      <c r="K61" s="187"/>
      <c r="M61" s="169"/>
      <c r="N61" s="165"/>
      <c r="P61" s="25"/>
      <c r="Q61" s="188"/>
      <c r="R61" s="112"/>
      <c r="S61" s="186"/>
      <c r="T61" s="25"/>
      <c r="U61" s="187"/>
      <c r="W61" s="169"/>
      <c r="X61" s="165"/>
      <c r="Z61" s="25"/>
      <c r="AA61" s="188"/>
      <c r="AB61" s="112"/>
      <c r="AC61" s="186"/>
      <c r="AD61" s="25"/>
      <c r="AE61" s="187"/>
      <c r="AG61" s="169"/>
      <c r="AH61" s="165"/>
      <c r="AJ61" s="25"/>
      <c r="AK61" s="188"/>
      <c r="AL61" s="112"/>
      <c r="AM61" s="186"/>
      <c r="AN61" s="25"/>
      <c r="AO61" s="187"/>
      <c r="AQ61" s="169"/>
      <c r="AR61" s="165"/>
      <c r="AT61" s="25"/>
      <c r="AU61" s="188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</row>
    <row r="62">
      <c r="A62" s="37"/>
      <c r="B62" s="184"/>
      <c r="C62" s="178"/>
      <c r="D62" s="25"/>
      <c r="E62" s="139"/>
      <c r="G62" s="43"/>
      <c r="H62" s="112"/>
      <c r="I62" s="184"/>
      <c r="J62" s="25"/>
      <c r="K62" s="185"/>
      <c r="M62" s="178"/>
      <c r="N62" s="139"/>
      <c r="P62" s="25"/>
      <c r="Q62" s="140"/>
      <c r="R62" s="112"/>
      <c r="S62" s="184"/>
      <c r="T62" s="25"/>
      <c r="U62" s="185"/>
      <c r="W62" s="178"/>
      <c r="X62" s="139"/>
      <c r="Z62" s="25"/>
      <c r="AA62" s="140"/>
      <c r="AB62" s="112"/>
      <c r="AC62" s="184"/>
      <c r="AD62" s="25"/>
      <c r="AE62" s="185"/>
      <c r="AG62" s="178"/>
      <c r="AH62" s="139"/>
      <c r="AJ62" s="25"/>
      <c r="AK62" s="140"/>
      <c r="AL62" s="112"/>
      <c r="AM62" s="184"/>
      <c r="AN62" s="25"/>
      <c r="AO62" s="185"/>
      <c r="AQ62" s="178"/>
      <c r="AR62" s="139"/>
      <c r="AT62" s="25"/>
      <c r="AU62" s="140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</row>
    <row r="63">
      <c r="A63" s="37"/>
      <c r="B63" s="186"/>
      <c r="C63" s="169"/>
      <c r="D63" s="25"/>
      <c r="E63" s="165"/>
      <c r="G63" s="43"/>
      <c r="H63" s="112"/>
      <c r="I63" s="186"/>
      <c r="J63" s="25"/>
      <c r="K63" s="187"/>
      <c r="M63" s="169"/>
      <c r="N63" s="165"/>
      <c r="P63" s="25"/>
      <c r="Q63" s="188"/>
      <c r="R63" s="112"/>
      <c r="S63" s="186"/>
      <c r="T63" s="25"/>
      <c r="U63" s="187"/>
      <c r="W63" s="169"/>
      <c r="X63" s="165"/>
      <c r="Z63" s="25"/>
      <c r="AA63" s="188"/>
      <c r="AB63" s="112"/>
      <c r="AC63" s="186"/>
      <c r="AD63" s="25"/>
      <c r="AE63" s="187"/>
      <c r="AG63" s="169"/>
      <c r="AH63" s="165"/>
      <c r="AJ63" s="25"/>
      <c r="AK63" s="188"/>
      <c r="AL63" s="112"/>
      <c r="AM63" s="186"/>
      <c r="AN63" s="25"/>
      <c r="AO63" s="187"/>
      <c r="AQ63" s="169"/>
      <c r="AR63" s="165"/>
      <c r="AT63" s="25"/>
      <c r="AU63" s="188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</row>
    <row r="64">
      <c r="A64" s="37"/>
      <c r="B64" s="184"/>
      <c r="C64" s="178"/>
      <c r="D64" s="25"/>
      <c r="E64" s="139"/>
      <c r="G64" s="43"/>
      <c r="H64" s="112"/>
      <c r="I64" s="184"/>
      <c r="J64" s="25"/>
      <c r="K64" s="185"/>
      <c r="M64" s="178"/>
      <c r="N64" s="139"/>
      <c r="P64" s="25"/>
      <c r="Q64" s="140"/>
      <c r="R64" s="112"/>
      <c r="S64" s="184"/>
      <c r="T64" s="25"/>
      <c r="U64" s="185"/>
      <c r="W64" s="178"/>
      <c r="X64" s="139"/>
      <c r="Z64" s="25"/>
      <c r="AA64" s="140"/>
      <c r="AB64" s="112"/>
      <c r="AC64" s="184"/>
      <c r="AD64" s="25"/>
      <c r="AE64" s="185"/>
      <c r="AG64" s="178"/>
      <c r="AH64" s="139"/>
      <c r="AJ64" s="25"/>
      <c r="AK64" s="140"/>
      <c r="AL64" s="112"/>
      <c r="AM64" s="184"/>
      <c r="AN64" s="25"/>
      <c r="AO64" s="185"/>
      <c r="AQ64" s="178"/>
      <c r="AR64" s="139"/>
      <c r="AT64" s="25"/>
      <c r="AU64" s="140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</row>
    <row r="65">
      <c r="A65" s="37"/>
      <c r="B65" s="189"/>
      <c r="C65" s="190"/>
      <c r="D65" s="67"/>
      <c r="E65" s="191"/>
      <c r="F65" s="45"/>
      <c r="G65" s="46"/>
      <c r="H65" s="112"/>
      <c r="I65" s="189"/>
      <c r="J65" s="67"/>
      <c r="K65" s="192"/>
      <c r="L65" s="45"/>
      <c r="M65" s="190"/>
      <c r="N65" s="191"/>
      <c r="O65" s="45"/>
      <c r="P65" s="67"/>
      <c r="Q65" s="193"/>
      <c r="R65" s="112"/>
      <c r="S65" s="189"/>
      <c r="T65" s="67"/>
      <c r="U65" s="192"/>
      <c r="V65" s="45"/>
      <c r="W65" s="190"/>
      <c r="X65" s="191"/>
      <c r="Y65" s="45"/>
      <c r="Z65" s="67"/>
      <c r="AA65" s="193"/>
      <c r="AB65" s="112"/>
      <c r="AC65" s="189"/>
      <c r="AD65" s="67"/>
      <c r="AE65" s="192"/>
      <c r="AF65" s="45"/>
      <c r="AG65" s="190"/>
      <c r="AH65" s="191"/>
      <c r="AI65" s="45"/>
      <c r="AJ65" s="67"/>
      <c r="AK65" s="193"/>
      <c r="AL65" s="112"/>
      <c r="AM65" s="189"/>
      <c r="AN65" s="67"/>
      <c r="AO65" s="192"/>
      <c r="AP65" s="45"/>
      <c r="AQ65" s="190"/>
      <c r="AR65" s="191"/>
      <c r="AS65" s="45"/>
      <c r="AT65" s="67"/>
      <c r="AU65" s="193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</row>
    <row r="66">
      <c r="A66" s="37"/>
      <c r="B66" s="194"/>
      <c r="C66" s="194"/>
      <c r="D66" s="194"/>
      <c r="E66" s="194"/>
      <c r="F66" s="194"/>
      <c r="G66" s="37"/>
      <c r="H66" s="37"/>
      <c r="I66" s="194"/>
      <c r="J66" s="194"/>
      <c r="K66" s="194"/>
      <c r="L66" s="194"/>
      <c r="M66" s="194"/>
      <c r="N66" s="194"/>
      <c r="O66" s="194"/>
      <c r="P66" s="194"/>
      <c r="Q66" s="37"/>
      <c r="R66" s="37"/>
      <c r="S66" s="194"/>
      <c r="T66" s="194"/>
      <c r="U66" s="194"/>
      <c r="V66" s="194"/>
      <c r="W66" s="194"/>
      <c r="X66" s="194"/>
      <c r="Y66" s="194"/>
      <c r="Z66" s="194"/>
      <c r="AA66" s="37"/>
      <c r="AB66" s="37"/>
      <c r="AC66" s="194"/>
      <c r="AD66" s="194"/>
      <c r="AE66" s="194"/>
      <c r="AF66" s="194"/>
      <c r="AG66" s="194"/>
      <c r="AH66" s="194"/>
      <c r="AI66" s="194"/>
      <c r="AJ66" s="194"/>
      <c r="AK66" s="37"/>
      <c r="AL66" s="37"/>
      <c r="AM66" s="194"/>
      <c r="AN66" s="194"/>
      <c r="AO66" s="194"/>
      <c r="AP66" s="194"/>
      <c r="AQ66" s="194"/>
      <c r="AR66" s="194"/>
      <c r="AS66" s="194"/>
      <c r="AT66" s="194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</row>
    <row r="67">
      <c r="A67" s="37"/>
      <c r="B67" s="194"/>
      <c r="C67" s="194"/>
      <c r="D67" s="194"/>
      <c r="E67" s="194"/>
      <c r="F67" s="194"/>
      <c r="G67" s="37"/>
      <c r="H67" s="37"/>
      <c r="I67" s="194"/>
      <c r="J67" s="194"/>
      <c r="K67" s="194"/>
      <c r="L67" s="194"/>
      <c r="M67" s="194"/>
      <c r="N67" s="194"/>
      <c r="O67" s="194"/>
      <c r="P67" s="194"/>
      <c r="Q67" s="37"/>
      <c r="R67" s="37"/>
      <c r="S67" s="194"/>
      <c r="T67" s="194"/>
      <c r="U67" s="194"/>
      <c r="V67" s="194"/>
      <c r="W67" s="194"/>
      <c r="X67" s="194"/>
      <c r="Y67" s="194"/>
      <c r="Z67" s="194"/>
      <c r="AA67" s="37"/>
      <c r="AB67" s="37"/>
      <c r="AC67" s="194"/>
      <c r="AD67" s="194"/>
      <c r="AE67" s="194"/>
      <c r="AF67" s="194"/>
      <c r="AG67" s="194"/>
      <c r="AH67" s="194"/>
      <c r="AI67" s="194"/>
      <c r="AJ67" s="194"/>
      <c r="AK67" s="37"/>
      <c r="AL67" s="37"/>
      <c r="AM67" s="194"/>
      <c r="AN67" s="194"/>
      <c r="AO67" s="194"/>
      <c r="AP67" s="194"/>
      <c r="AQ67" s="194"/>
      <c r="AR67" s="194"/>
      <c r="AS67" s="194"/>
      <c r="AT67" s="194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</row>
    <row r="68">
      <c r="A68" s="37"/>
      <c r="B68" s="85" t="s">
        <v>114</v>
      </c>
      <c r="C68" s="86" t="s">
        <v>62</v>
      </c>
      <c r="D68" s="87"/>
      <c r="E68" s="88" t="s">
        <v>63</v>
      </c>
      <c r="F68" s="40"/>
      <c r="G68" s="41"/>
      <c r="H68" s="37"/>
      <c r="I68" s="85" t="s">
        <v>64</v>
      </c>
      <c r="J68" s="87"/>
      <c r="K68" s="86" t="s">
        <v>65</v>
      </c>
      <c r="L68" s="87"/>
      <c r="M68" s="86" t="s">
        <v>66</v>
      </c>
      <c r="N68" s="86" t="s">
        <v>67</v>
      </c>
      <c r="O68" s="40"/>
      <c r="P68" s="87"/>
      <c r="Q68" s="89" t="s">
        <v>68</v>
      </c>
      <c r="R68" s="37"/>
      <c r="S68" s="85"/>
      <c r="T68" s="87"/>
      <c r="U68" s="86"/>
      <c r="V68" s="87"/>
      <c r="W68" s="86"/>
      <c r="X68" s="86"/>
      <c r="Y68" s="40"/>
      <c r="Z68" s="87"/>
      <c r="AA68" s="89"/>
      <c r="AB68" s="37"/>
      <c r="AC68" s="85"/>
      <c r="AD68" s="87"/>
      <c r="AE68" s="86"/>
      <c r="AF68" s="87"/>
      <c r="AG68" s="86"/>
      <c r="AH68" s="86"/>
      <c r="AI68" s="40"/>
      <c r="AJ68" s="87"/>
      <c r="AK68" s="89"/>
      <c r="AL68" s="37"/>
      <c r="AM68" s="85"/>
      <c r="AN68" s="87"/>
      <c r="AO68" s="86"/>
      <c r="AP68" s="87"/>
      <c r="AQ68" s="86"/>
      <c r="AR68" s="86"/>
      <c r="AS68" s="40"/>
      <c r="AT68" s="87"/>
      <c r="AU68" s="89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</row>
    <row r="69">
      <c r="A69" s="37"/>
      <c r="B69" s="42"/>
      <c r="C69" s="90"/>
      <c r="D69" s="25"/>
      <c r="E69" s="90"/>
      <c r="G69" s="43"/>
      <c r="H69" s="37"/>
      <c r="I69" s="42"/>
      <c r="J69" s="25"/>
      <c r="K69" s="90"/>
      <c r="L69" s="25"/>
      <c r="M69" s="90"/>
      <c r="N69" s="90"/>
      <c r="P69" s="25"/>
      <c r="Q69" s="91"/>
      <c r="R69" s="37"/>
      <c r="S69" s="42"/>
      <c r="T69" s="25"/>
      <c r="U69" s="90"/>
      <c r="V69" s="25"/>
      <c r="W69" s="90"/>
      <c r="X69" s="90"/>
      <c r="Z69" s="25"/>
      <c r="AA69" s="91"/>
      <c r="AB69" s="37"/>
      <c r="AC69" s="42"/>
      <c r="AD69" s="25"/>
      <c r="AE69" s="90"/>
      <c r="AF69" s="25"/>
      <c r="AG69" s="90"/>
      <c r="AH69" s="90"/>
      <c r="AJ69" s="25"/>
      <c r="AK69" s="91"/>
      <c r="AL69" s="37"/>
      <c r="AM69" s="42"/>
      <c r="AN69" s="25"/>
      <c r="AO69" s="90"/>
      <c r="AP69" s="25"/>
      <c r="AQ69" s="90"/>
      <c r="AR69" s="90"/>
      <c r="AT69" s="25"/>
      <c r="AU69" s="91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</row>
    <row r="70">
      <c r="A70" s="37"/>
      <c r="B70" s="92"/>
      <c r="C70" s="27"/>
      <c r="D70" s="28"/>
      <c r="E70" s="27"/>
      <c r="F70" s="22"/>
      <c r="G70" s="93"/>
      <c r="H70" s="37"/>
      <c r="I70" s="92"/>
      <c r="J70" s="28"/>
      <c r="K70" s="27"/>
      <c r="L70" s="28"/>
      <c r="M70" s="27"/>
      <c r="N70" s="27"/>
      <c r="O70" s="22"/>
      <c r="P70" s="28"/>
      <c r="Q70" s="94"/>
      <c r="R70" s="37"/>
      <c r="S70" s="92"/>
      <c r="T70" s="28"/>
      <c r="U70" s="27"/>
      <c r="V70" s="28"/>
      <c r="W70" s="27"/>
      <c r="X70" s="27"/>
      <c r="Y70" s="22"/>
      <c r="Z70" s="28"/>
      <c r="AA70" s="94"/>
      <c r="AB70" s="37"/>
      <c r="AC70" s="92"/>
      <c r="AD70" s="28"/>
      <c r="AE70" s="27"/>
      <c r="AF70" s="28"/>
      <c r="AG70" s="27"/>
      <c r="AH70" s="27"/>
      <c r="AI70" s="22"/>
      <c r="AJ70" s="28"/>
      <c r="AK70" s="94"/>
      <c r="AL70" s="37"/>
      <c r="AM70" s="92"/>
      <c r="AN70" s="28"/>
      <c r="AO70" s="27"/>
      <c r="AP70" s="28"/>
      <c r="AQ70" s="27"/>
      <c r="AR70" s="27"/>
      <c r="AS70" s="22"/>
      <c r="AT70" s="28"/>
      <c r="AU70" s="94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</row>
    <row r="71">
      <c r="A71" s="37"/>
      <c r="B71" s="95" t="s">
        <v>115</v>
      </c>
      <c r="C71" s="96" t="s">
        <v>116</v>
      </c>
      <c r="D71" s="25"/>
      <c r="E71" s="102"/>
      <c r="G71" s="43"/>
      <c r="H71" s="37"/>
      <c r="I71" s="98" t="s">
        <v>78</v>
      </c>
      <c r="J71" s="25"/>
      <c r="K71" s="99">
        <v>45634.0</v>
      </c>
      <c r="M71" s="96">
        <v>0.0</v>
      </c>
      <c r="N71" s="100" t="s">
        <v>97</v>
      </c>
      <c r="P71" s="25"/>
      <c r="Q71" s="101">
        <v>3202.0</v>
      </c>
      <c r="R71" s="37"/>
      <c r="S71" s="98"/>
      <c r="T71" s="25"/>
      <c r="U71" s="99"/>
      <c r="W71" s="96"/>
      <c r="X71" s="102"/>
      <c r="Z71" s="25"/>
      <c r="AA71" s="101"/>
      <c r="AB71" s="37"/>
      <c r="AC71" s="98"/>
      <c r="AD71" s="25"/>
      <c r="AE71" s="99"/>
      <c r="AG71" s="96"/>
      <c r="AH71" s="102"/>
      <c r="AJ71" s="25"/>
      <c r="AK71" s="101"/>
      <c r="AL71" s="37"/>
      <c r="AM71" s="98"/>
      <c r="AN71" s="25"/>
      <c r="AO71" s="99"/>
      <c r="AQ71" s="96"/>
      <c r="AR71" s="102"/>
      <c r="AT71" s="25"/>
      <c r="AU71" s="101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</row>
    <row r="72">
      <c r="A72" s="37"/>
      <c r="B72" s="103" t="s">
        <v>117</v>
      </c>
      <c r="C72" s="104" t="s">
        <v>118</v>
      </c>
      <c r="D72" s="25"/>
      <c r="E72" s="123" t="s">
        <v>82</v>
      </c>
      <c r="G72" s="43"/>
      <c r="H72" s="37"/>
      <c r="I72" s="106">
        <v>2.0</v>
      </c>
      <c r="J72" s="25"/>
      <c r="K72" s="107">
        <v>45634.0</v>
      </c>
      <c r="M72" s="104">
        <v>0.0</v>
      </c>
      <c r="N72" s="105"/>
      <c r="P72" s="25"/>
      <c r="Q72" s="108">
        <v>3001.0</v>
      </c>
      <c r="R72" s="37"/>
      <c r="S72" s="106"/>
      <c r="T72" s="25"/>
      <c r="U72" s="107"/>
      <c r="W72" s="104"/>
      <c r="X72" s="105"/>
      <c r="Z72" s="25"/>
      <c r="AA72" s="108"/>
      <c r="AB72" s="37"/>
      <c r="AC72" s="106"/>
      <c r="AD72" s="25"/>
      <c r="AE72" s="107"/>
      <c r="AG72" s="104"/>
      <c r="AH72" s="105"/>
      <c r="AJ72" s="25"/>
      <c r="AK72" s="108"/>
      <c r="AL72" s="37"/>
      <c r="AM72" s="106"/>
      <c r="AN72" s="25"/>
      <c r="AO72" s="107"/>
      <c r="AQ72" s="104"/>
      <c r="AR72" s="105"/>
      <c r="AT72" s="25"/>
      <c r="AU72" s="108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</row>
    <row r="73">
      <c r="A73" s="37"/>
      <c r="B73" s="141" t="s">
        <v>119</v>
      </c>
      <c r="C73" s="115" t="s">
        <v>96</v>
      </c>
      <c r="D73" s="25"/>
      <c r="E73" s="119"/>
      <c r="G73" s="43"/>
      <c r="H73" s="37"/>
      <c r="I73" s="117" t="s">
        <v>78</v>
      </c>
      <c r="J73" s="25"/>
      <c r="K73" s="118">
        <v>45634.0</v>
      </c>
      <c r="M73" s="96">
        <v>0.0</v>
      </c>
      <c r="N73" s="97" t="s">
        <v>97</v>
      </c>
      <c r="P73" s="25"/>
      <c r="Q73" s="120">
        <v>3101.0</v>
      </c>
      <c r="R73" s="37"/>
      <c r="S73" s="117"/>
      <c r="T73" s="25"/>
      <c r="U73" s="118"/>
      <c r="W73" s="115"/>
      <c r="X73" s="119"/>
      <c r="Z73" s="25"/>
      <c r="AA73" s="120"/>
      <c r="AB73" s="37"/>
      <c r="AC73" s="117"/>
      <c r="AD73" s="25"/>
      <c r="AE73" s="118"/>
      <c r="AG73" s="115"/>
      <c r="AH73" s="119"/>
      <c r="AJ73" s="25"/>
      <c r="AK73" s="120"/>
      <c r="AL73" s="37"/>
      <c r="AM73" s="117"/>
      <c r="AN73" s="25"/>
      <c r="AO73" s="118"/>
      <c r="AQ73" s="115"/>
      <c r="AR73" s="119"/>
      <c r="AT73" s="25"/>
      <c r="AU73" s="120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</row>
    <row r="74">
      <c r="A74" s="37"/>
      <c r="B74" s="103" t="s">
        <v>120</v>
      </c>
      <c r="C74" s="104" t="s">
        <v>94</v>
      </c>
      <c r="D74" s="25"/>
      <c r="E74" s="105"/>
      <c r="G74" s="43"/>
      <c r="H74" s="37"/>
      <c r="I74" s="106" t="s">
        <v>78</v>
      </c>
      <c r="J74" s="25"/>
      <c r="K74" s="128" t="s">
        <v>79</v>
      </c>
      <c r="M74" s="104">
        <v>0.0</v>
      </c>
      <c r="N74" s="123" t="s">
        <v>97</v>
      </c>
      <c r="P74" s="25"/>
      <c r="Q74" s="108">
        <v>3101.0</v>
      </c>
      <c r="R74" s="37"/>
      <c r="S74" s="106"/>
      <c r="T74" s="25"/>
      <c r="U74" s="128"/>
      <c r="W74" s="104"/>
      <c r="X74" s="105"/>
      <c r="Z74" s="25"/>
      <c r="AA74" s="108"/>
      <c r="AB74" s="37"/>
      <c r="AC74" s="106"/>
      <c r="AD74" s="25"/>
      <c r="AE74" s="128"/>
      <c r="AG74" s="104"/>
      <c r="AH74" s="105"/>
      <c r="AJ74" s="25"/>
      <c r="AK74" s="108"/>
      <c r="AL74" s="37"/>
      <c r="AM74" s="106"/>
      <c r="AN74" s="25"/>
      <c r="AO74" s="128"/>
      <c r="AQ74" s="104"/>
      <c r="AR74" s="105"/>
      <c r="AT74" s="25"/>
      <c r="AU74" s="108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</row>
    <row r="75">
      <c r="A75" s="37"/>
      <c r="B75" s="141" t="s">
        <v>121</v>
      </c>
      <c r="C75" s="115" t="s">
        <v>99</v>
      </c>
      <c r="D75" s="25"/>
      <c r="E75" s="119"/>
      <c r="G75" s="43"/>
      <c r="H75" s="37"/>
      <c r="I75" s="117">
        <v>2.0</v>
      </c>
      <c r="J75" s="25"/>
      <c r="K75" s="118">
        <v>45634.0</v>
      </c>
      <c r="M75" s="96">
        <v>1.0</v>
      </c>
      <c r="N75" s="119"/>
      <c r="P75" s="25"/>
      <c r="Q75" s="120"/>
      <c r="R75" s="37"/>
      <c r="S75" s="117"/>
      <c r="T75" s="25"/>
      <c r="U75" s="118"/>
      <c r="W75" s="115"/>
      <c r="X75" s="119"/>
      <c r="Z75" s="25"/>
      <c r="AA75" s="120"/>
      <c r="AB75" s="37"/>
      <c r="AC75" s="117"/>
      <c r="AD75" s="25"/>
      <c r="AE75" s="118"/>
      <c r="AG75" s="115"/>
      <c r="AH75" s="119"/>
      <c r="AJ75" s="25"/>
      <c r="AK75" s="120"/>
      <c r="AL75" s="37"/>
      <c r="AM75" s="117"/>
      <c r="AN75" s="25"/>
      <c r="AO75" s="118"/>
      <c r="AQ75" s="115"/>
      <c r="AR75" s="119"/>
      <c r="AT75" s="25"/>
      <c r="AU75" s="120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</row>
    <row r="76">
      <c r="A76" s="37"/>
      <c r="B76" s="103" t="s">
        <v>122</v>
      </c>
      <c r="C76" s="104" t="s">
        <v>94</v>
      </c>
      <c r="D76" s="25"/>
      <c r="E76" s="105"/>
      <c r="G76" s="43"/>
      <c r="H76" s="37"/>
      <c r="I76" s="106">
        <v>2.0</v>
      </c>
      <c r="J76" s="25"/>
      <c r="K76" s="107">
        <v>45510.0</v>
      </c>
      <c r="M76" s="104">
        <v>0.0</v>
      </c>
      <c r="N76" s="105"/>
      <c r="P76" s="25"/>
      <c r="Q76" s="108"/>
      <c r="R76" s="37"/>
      <c r="S76" s="106"/>
      <c r="T76" s="25"/>
      <c r="U76" s="107"/>
      <c r="W76" s="104"/>
      <c r="X76" s="105"/>
      <c r="Z76" s="25"/>
      <c r="AA76" s="108"/>
      <c r="AB76" s="37"/>
      <c r="AC76" s="106"/>
      <c r="AD76" s="25"/>
      <c r="AE76" s="107"/>
      <c r="AG76" s="104"/>
      <c r="AH76" s="105"/>
      <c r="AJ76" s="25"/>
      <c r="AK76" s="108"/>
      <c r="AL76" s="37"/>
      <c r="AM76" s="106"/>
      <c r="AN76" s="25"/>
      <c r="AO76" s="107"/>
      <c r="AQ76" s="104"/>
      <c r="AR76" s="105"/>
      <c r="AT76" s="25"/>
      <c r="AU76" s="108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</row>
    <row r="77">
      <c r="A77" s="37"/>
      <c r="B77" s="144"/>
      <c r="C77" s="96"/>
      <c r="D77" s="25"/>
      <c r="E77" s="102"/>
      <c r="G77" s="43"/>
      <c r="H77" s="37"/>
      <c r="I77" s="98"/>
      <c r="J77" s="25"/>
      <c r="K77" s="145"/>
      <c r="M77" s="96"/>
      <c r="N77" s="102"/>
      <c r="P77" s="25"/>
      <c r="Q77" s="101"/>
      <c r="R77" s="37"/>
      <c r="S77" s="98"/>
      <c r="T77" s="25"/>
      <c r="U77" s="145"/>
      <c r="W77" s="96"/>
      <c r="X77" s="102"/>
      <c r="Z77" s="25"/>
      <c r="AA77" s="101"/>
      <c r="AB77" s="37"/>
      <c r="AC77" s="98"/>
      <c r="AD77" s="25"/>
      <c r="AE77" s="145"/>
      <c r="AG77" s="96"/>
      <c r="AH77" s="102"/>
      <c r="AJ77" s="25"/>
      <c r="AK77" s="101"/>
      <c r="AL77" s="37"/>
      <c r="AM77" s="98"/>
      <c r="AN77" s="25"/>
      <c r="AO77" s="145"/>
      <c r="AQ77" s="96"/>
      <c r="AR77" s="102"/>
      <c r="AT77" s="25"/>
      <c r="AU77" s="101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</row>
    <row r="78">
      <c r="A78" s="37"/>
      <c r="B78" s="146"/>
      <c r="C78" s="104"/>
      <c r="D78" s="25"/>
      <c r="E78" s="105"/>
      <c r="G78" s="43"/>
      <c r="H78" s="37"/>
      <c r="I78" s="106"/>
      <c r="J78" s="25"/>
      <c r="K78" s="143"/>
      <c r="M78" s="104"/>
      <c r="N78" s="105"/>
      <c r="P78" s="25"/>
      <c r="Q78" s="108"/>
      <c r="R78" s="37"/>
      <c r="S78" s="106"/>
      <c r="T78" s="25"/>
      <c r="U78" s="143"/>
      <c r="W78" s="104"/>
      <c r="X78" s="105"/>
      <c r="Z78" s="25"/>
      <c r="AA78" s="108"/>
      <c r="AB78" s="37"/>
      <c r="AC78" s="106"/>
      <c r="AD78" s="25"/>
      <c r="AE78" s="143"/>
      <c r="AG78" s="104"/>
      <c r="AH78" s="105"/>
      <c r="AJ78" s="25"/>
      <c r="AK78" s="108"/>
      <c r="AL78" s="37"/>
      <c r="AM78" s="106"/>
      <c r="AN78" s="25"/>
      <c r="AO78" s="143"/>
      <c r="AQ78" s="104"/>
      <c r="AR78" s="105"/>
      <c r="AT78" s="25"/>
      <c r="AU78" s="108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</row>
    <row r="79">
      <c r="A79" s="37"/>
      <c r="B79" s="144"/>
      <c r="C79" s="96"/>
      <c r="D79" s="25"/>
      <c r="E79" s="102"/>
      <c r="G79" s="43"/>
      <c r="H79" s="37"/>
      <c r="I79" s="98"/>
      <c r="J79" s="25"/>
      <c r="K79" s="145"/>
      <c r="M79" s="96"/>
      <c r="N79" s="102"/>
      <c r="P79" s="25"/>
      <c r="Q79" s="101"/>
      <c r="R79" s="37"/>
      <c r="S79" s="98"/>
      <c r="T79" s="25"/>
      <c r="U79" s="145"/>
      <c r="W79" s="96"/>
      <c r="X79" s="102"/>
      <c r="Z79" s="25"/>
      <c r="AA79" s="101"/>
      <c r="AB79" s="37"/>
      <c r="AC79" s="98"/>
      <c r="AD79" s="25"/>
      <c r="AE79" s="145"/>
      <c r="AG79" s="96"/>
      <c r="AH79" s="102"/>
      <c r="AJ79" s="25"/>
      <c r="AK79" s="101"/>
      <c r="AL79" s="37"/>
      <c r="AM79" s="98"/>
      <c r="AN79" s="25"/>
      <c r="AO79" s="145"/>
      <c r="AQ79" s="96"/>
      <c r="AR79" s="102"/>
      <c r="AT79" s="25"/>
      <c r="AU79" s="101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</row>
    <row r="80">
      <c r="A80" s="37"/>
      <c r="B80" s="146"/>
      <c r="C80" s="104"/>
      <c r="D80" s="25"/>
      <c r="E80" s="105"/>
      <c r="G80" s="43"/>
      <c r="H80" s="37"/>
      <c r="I80" s="106"/>
      <c r="J80" s="25"/>
      <c r="K80" s="143"/>
      <c r="M80" s="104"/>
      <c r="N80" s="105"/>
      <c r="P80" s="25"/>
      <c r="Q80" s="108"/>
      <c r="R80" s="37"/>
      <c r="S80" s="106"/>
      <c r="T80" s="25"/>
      <c r="U80" s="143"/>
      <c r="W80" s="104"/>
      <c r="X80" s="105"/>
      <c r="Z80" s="25"/>
      <c r="AA80" s="108"/>
      <c r="AB80" s="37"/>
      <c r="AC80" s="106"/>
      <c r="AD80" s="25"/>
      <c r="AE80" s="143"/>
      <c r="AG80" s="104"/>
      <c r="AH80" s="105"/>
      <c r="AJ80" s="25"/>
      <c r="AK80" s="108"/>
      <c r="AL80" s="37"/>
      <c r="AM80" s="106"/>
      <c r="AN80" s="25"/>
      <c r="AO80" s="143"/>
      <c r="AQ80" s="104"/>
      <c r="AR80" s="105"/>
      <c r="AT80" s="25"/>
      <c r="AU80" s="108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</row>
    <row r="81">
      <c r="A81" s="37"/>
      <c r="B81" s="144"/>
      <c r="C81" s="96"/>
      <c r="D81" s="25"/>
      <c r="E81" s="102"/>
      <c r="G81" s="43"/>
      <c r="H81" s="37"/>
      <c r="I81" s="98"/>
      <c r="J81" s="25"/>
      <c r="K81" s="145"/>
      <c r="M81" s="96"/>
      <c r="N81" s="102"/>
      <c r="P81" s="25"/>
      <c r="Q81" s="101"/>
      <c r="R81" s="37"/>
      <c r="S81" s="98"/>
      <c r="T81" s="25"/>
      <c r="U81" s="145"/>
      <c r="W81" s="96"/>
      <c r="X81" s="102"/>
      <c r="Z81" s="25"/>
      <c r="AA81" s="101"/>
      <c r="AB81" s="37"/>
      <c r="AC81" s="98"/>
      <c r="AD81" s="25"/>
      <c r="AE81" s="145"/>
      <c r="AG81" s="96"/>
      <c r="AH81" s="102"/>
      <c r="AJ81" s="25"/>
      <c r="AK81" s="101"/>
      <c r="AL81" s="37"/>
      <c r="AM81" s="98"/>
      <c r="AN81" s="25"/>
      <c r="AO81" s="145"/>
      <c r="AQ81" s="96"/>
      <c r="AR81" s="102"/>
      <c r="AT81" s="25"/>
      <c r="AU81" s="101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</row>
    <row r="82">
      <c r="A82" s="37"/>
      <c r="B82" s="146"/>
      <c r="C82" s="104"/>
      <c r="D82" s="25"/>
      <c r="E82" s="105"/>
      <c r="G82" s="43"/>
      <c r="H82" s="37"/>
      <c r="I82" s="106"/>
      <c r="J82" s="25"/>
      <c r="K82" s="143"/>
      <c r="M82" s="104"/>
      <c r="N82" s="105"/>
      <c r="P82" s="25"/>
      <c r="Q82" s="108"/>
      <c r="R82" s="37"/>
      <c r="S82" s="106"/>
      <c r="T82" s="25"/>
      <c r="U82" s="143"/>
      <c r="W82" s="104"/>
      <c r="X82" s="105"/>
      <c r="Z82" s="25"/>
      <c r="AA82" s="108"/>
      <c r="AB82" s="37"/>
      <c r="AC82" s="106"/>
      <c r="AD82" s="25"/>
      <c r="AE82" s="143"/>
      <c r="AG82" s="104"/>
      <c r="AH82" s="105"/>
      <c r="AJ82" s="25"/>
      <c r="AK82" s="108"/>
      <c r="AL82" s="37"/>
      <c r="AM82" s="106"/>
      <c r="AN82" s="25"/>
      <c r="AO82" s="143"/>
      <c r="AQ82" s="104"/>
      <c r="AR82" s="105"/>
      <c r="AT82" s="25"/>
      <c r="AU82" s="108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</row>
    <row r="83">
      <c r="A83" s="37"/>
      <c r="B83" s="147"/>
      <c r="C83" s="148"/>
      <c r="D83" s="67"/>
      <c r="E83" s="149"/>
      <c r="F83" s="45"/>
      <c r="G83" s="46"/>
      <c r="H83" s="37"/>
      <c r="I83" s="150"/>
      <c r="J83" s="67"/>
      <c r="K83" s="151"/>
      <c r="L83" s="45"/>
      <c r="M83" s="148"/>
      <c r="N83" s="149"/>
      <c r="O83" s="45"/>
      <c r="P83" s="67"/>
      <c r="Q83" s="152"/>
      <c r="R83" s="37"/>
      <c r="S83" s="150"/>
      <c r="T83" s="67"/>
      <c r="U83" s="151"/>
      <c r="V83" s="45"/>
      <c r="W83" s="148"/>
      <c r="X83" s="149"/>
      <c r="Y83" s="45"/>
      <c r="Z83" s="67"/>
      <c r="AA83" s="152"/>
      <c r="AB83" s="37"/>
      <c r="AC83" s="150"/>
      <c r="AD83" s="67"/>
      <c r="AE83" s="151"/>
      <c r="AF83" s="45"/>
      <c r="AG83" s="148"/>
      <c r="AH83" s="149"/>
      <c r="AI83" s="45"/>
      <c r="AJ83" s="67"/>
      <c r="AK83" s="152"/>
      <c r="AL83" s="37"/>
      <c r="AM83" s="150"/>
      <c r="AN83" s="67"/>
      <c r="AO83" s="151"/>
      <c r="AP83" s="45"/>
      <c r="AQ83" s="148"/>
      <c r="AR83" s="149"/>
      <c r="AS83" s="45"/>
      <c r="AT83" s="67"/>
      <c r="AU83" s="152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</row>
    <row r="102">
      <c r="A102" s="37"/>
      <c r="B102" s="194"/>
      <c r="C102" s="194"/>
      <c r="D102" s="194"/>
      <c r="E102" s="194"/>
      <c r="F102" s="194"/>
      <c r="G102" s="37"/>
      <c r="H102" s="37"/>
      <c r="I102" s="194"/>
      <c r="J102" s="194"/>
      <c r="K102" s="194"/>
      <c r="L102" s="194"/>
      <c r="M102" s="194"/>
      <c r="N102" s="194"/>
      <c r="O102" s="194"/>
      <c r="P102" s="194"/>
      <c r="Q102" s="37"/>
      <c r="R102" s="37"/>
      <c r="S102" s="194"/>
      <c r="T102" s="194"/>
      <c r="U102" s="194"/>
      <c r="V102" s="194"/>
      <c r="W102" s="194"/>
      <c r="X102" s="194"/>
      <c r="Y102" s="194"/>
      <c r="Z102" s="194"/>
      <c r="AA102" s="37"/>
      <c r="AB102" s="37"/>
      <c r="AC102" s="194"/>
      <c r="AD102" s="194"/>
      <c r="AE102" s="194"/>
      <c r="AF102" s="194"/>
      <c r="AG102" s="194"/>
      <c r="AH102" s="194"/>
      <c r="AI102" s="194"/>
      <c r="AJ102" s="194"/>
      <c r="AK102" s="37"/>
      <c r="AL102" s="37"/>
      <c r="AM102" s="194"/>
      <c r="AN102" s="194"/>
      <c r="AO102" s="194"/>
      <c r="AP102" s="194"/>
      <c r="AQ102" s="194"/>
      <c r="AR102" s="194"/>
      <c r="AS102" s="194"/>
      <c r="AT102" s="194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</row>
    <row r="103">
      <c r="A103" s="37"/>
      <c r="B103" s="194"/>
      <c r="C103" s="194"/>
      <c r="D103" s="194"/>
      <c r="E103" s="194"/>
      <c r="F103" s="194"/>
      <c r="G103" s="37"/>
      <c r="H103" s="37"/>
      <c r="I103" s="194"/>
      <c r="J103" s="194"/>
      <c r="K103" s="194"/>
      <c r="L103" s="194"/>
      <c r="M103" s="194"/>
      <c r="N103" s="194"/>
      <c r="O103" s="194"/>
      <c r="P103" s="194"/>
      <c r="Q103" s="37"/>
      <c r="R103" s="37"/>
      <c r="S103" s="194"/>
      <c r="T103" s="194"/>
      <c r="U103" s="194"/>
      <c r="V103" s="194"/>
      <c r="W103" s="194"/>
      <c r="X103" s="194"/>
      <c r="Y103" s="194"/>
      <c r="Z103" s="194"/>
      <c r="AA103" s="37"/>
      <c r="AB103" s="37"/>
      <c r="AC103" s="194"/>
      <c r="AD103" s="194"/>
      <c r="AE103" s="194"/>
      <c r="AF103" s="194"/>
      <c r="AG103" s="194"/>
      <c r="AH103" s="194"/>
      <c r="AI103" s="194"/>
      <c r="AJ103" s="194"/>
      <c r="AK103" s="37"/>
      <c r="AL103" s="37"/>
      <c r="AM103" s="194"/>
      <c r="AN103" s="194"/>
      <c r="AO103" s="194"/>
      <c r="AP103" s="194"/>
      <c r="AQ103" s="194"/>
      <c r="AR103" s="194"/>
      <c r="AS103" s="194"/>
      <c r="AT103" s="194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</row>
    <row r="120">
      <c r="A120" s="37"/>
      <c r="B120" s="194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</row>
    <row r="121">
      <c r="A121" s="37"/>
      <c r="B121" s="194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</row>
    <row r="122">
      <c r="A122" s="37"/>
      <c r="B122" s="194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</row>
    <row r="123">
      <c r="A123" s="37"/>
      <c r="B123" s="194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</row>
    <row r="124">
      <c r="A124" s="37"/>
      <c r="B124" s="194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</row>
    <row r="125">
      <c r="A125" s="37"/>
      <c r="B125" s="194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</row>
    <row r="126">
      <c r="A126" s="37"/>
      <c r="B126" s="194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</row>
    <row r="127">
      <c r="A127" s="37"/>
      <c r="B127" s="194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</row>
    <row r="128">
      <c r="A128" s="37"/>
      <c r="B128" s="194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</row>
    <row r="129">
      <c r="A129" s="37"/>
      <c r="B129" s="194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</row>
    <row r="130">
      <c r="A130" s="37"/>
      <c r="B130" s="194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</row>
    <row r="131">
      <c r="A131" s="37"/>
      <c r="B131" s="194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</row>
    <row r="132">
      <c r="A132" s="37"/>
      <c r="B132" s="194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</row>
    <row r="133">
      <c r="A133" s="37"/>
      <c r="B133" s="194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</row>
    <row r="134">
      <c r="A134" s="37"/>
      <c r="B134" s="194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</row>
    <row r="135">
      <c r="A135" s="37"/>
      <c r="B135" s="194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</row>
    <row r="136">
      <c r="A136" s="37"/>
      <c r="B136" s="194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</row>
    <row r="137">
      <c r="A137" s="37"/>
      <c r="B137" s="194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</row>
    <row r="138">
      <c r="A138" s="37"/>
      <c r="B138" s="37"/>
      <c r="C138" s="37"/>
      <c r="D138" s="37"/>
      <c r="E138" s="37"/>
      <c r="F138" s="37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</row>
    <row r="139">
      <c r="A139" s="37"/>
      <c r="B139" s="37"/>
      <c r="C139" s="37"/>
      <c r="D139" s="37"/>
      <c r="E139" s="37"/>
      <c r="F139" s="37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</row>
    <row r="140">
      <c r="A140" s="37"/>
      <c r="B140" s="37"/>
      <c r="C140" s="37"/>
      <c r="D140" s="37"/>
      <c r="E140" s="37"/>
      <c r="F140" s="37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</row>
    <row r="141">
      <c r="A141" s="37"/>
      <c r="B141" s="37"/>
      <c r="C141" s="37"/>
      <c r="D141" s="37"/>
      <c r="E141" s="37"/>
      <c r="F141" s="37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</row>
    <row r="142">
      <c r="A142" s="37"/>
      <c r="B142" s="37"/>
      <c r="C142" s="37"/>
      <c r="D142" s="37"/>
      <c r="E142" s="37"/>
      <c r="F142" s="37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</row>
    <row r="143">
      <c r="A143" s="37"/>
      <c r="B143" s="37"/>
      <c r="C143" s="37"/>
      <c r="D143" s="37"/>
      <c r="E143" s="37"/>
      <c r="F143" s="37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</row>
  </sheetData>
  <mergeCells count="839">
    <mergeCell ref="AC37:AD37"/>
    <mergeCell ref="AE37:AF37"/>
    <mergeCell ref="X38:Z38"/>
    <mergeCell ref="AC38:AD38"/>
    <mergeCell ref="AE38:AF38"/>
    <mergeCell ref="AC39:AD39"/>
    <mergeCell ref="AE39:AF39"/>
    <mergeCell ref="X39:Z39"/>
    <mergeCell ref="X40:Z40"/>
    <mergeCell ref="AC40:AD40"/>
    <mergeCell ref="AE40:AF40"/>
    <mergeCell ref="X41:Z41"/>
    <mergeCell ref="AE41:AF41"/>
    <mergeCell ref="AE42:AF42"/>
    <mergeCell ref="AC46:AD46"/>
    <mergeCell ref="AE46:AF46"/>
    <mergeCell ref="X47:Z47"/>
    <mergeCell ref="AC47:AD47"/>
    <mergeCell ref="AE47:AF47"/>
    <mergeCell ref="X44:Z44"/>
    <mergeCell ref="AC44:AD44"/>
    <mergeCell ref="AE44:AF44"/>
    <mergeCell ref="X45:Z45"/>
    <mergeCell ref="AC45:AD45"/>
    <mergeCell ref="AE45:AF45"/>
    <mergeCell ref="X46:Z46"/>
    <mergeCell ref="AR43:AT43"/>
    <mergeCell ref="AR44:AT44"/>
    <mergeCell ref="AR45:AT45"/>
    <mergeCell ref="AR46:AT46"/>
    <mergeCell ref="AR47:AT47"/>
    <mergeCell ref="AR36:AT36"/>
    <mergeCell ref="AR37:AT37"/>
    <mergeCell ref="AR38:AT38"/>
    <mergeCell ref="AR39:AT39"/>
    <mergeCell ref="AR40:AT40"/>
    <mergeCell ref="AR41:AT41"/>
    <mergeCell ref="AR42:AT42"/>
    <mergeCell ref="AH42:AJ42"/>
    <mergeCell ref="AH43:AJ43"/>
    <mergeCell ref="AM43:AN43"/>
    <mergeCell ref="AO43:AP43"/>
    <mergeCell ref="AM44:AN44"/>
    <mergeCell ref="AO44:AP44"/>
    <mergeCell ref="AH44:AJ44"/>
    <mergeCell ref="AH45:AJ45"/>
    <mergeCell ref="AM45:AN45"/>
    <mergeCell ref="AO45:AP45"/>
    <mergeCell ref="AH46:AJ46"/>
    <mergeCell ref="AO46:AP46"/>
    <mergeCell ref="AH47:AJ47"/>
    <mergeCell ref="AO47:AP47"/>
    <mergeCell ref="AC32:AD34"/>
    <mergeCell ref="AC35:AD35"/>
    <mergeCell ref="X32:Z34"/>
    <mergeCell ref="AA32:AA34"/>
    <mergeCell ref="AE32:AF34"/>
    <mergeCell ref="AG32:AG34"/>
    <mergeCell ref="AK32:AK34"/>
    <mergeCell ref="X35:Z35"/>
    <mergeCell ref="AE35:AF35"/>
    <mergeCell ref="X36:Z36"/>
    <mergeCell ref="AC36:AD36"/>
    <mergeCell ref="AE36:AF36"/>
    <mergeCell ref="AO36:AP36"/>
    <mergeCell ref="X37:Z37"/>
    <mergeCell ref="AH37:AJ37"/>
    <mergeCell ref="AO37:AP37"/>
    <mergeCell ref="AC41:AD41"/>
    <mergeCell ref="AC42:AD42"/>
    <mergeCell ref="AM42:AN42"/>
    <mergeCell ref="AO42:AP42"/>
    <mergeCell ref="X42:Z42"/>
    <mergeCell ref="X43:Z43"/>
    <mergeCell ref="AC43:AD43"/>
    <mergeCell ref="AE43:AF43"/>
    <mergeCell ref="AH32:AJ34"/>
    <mergeCell ref="AH35:AJ35"/>
    <mergeCell ref="AH36:AJ36"/>
    <mergeCell ref="AH38:AJ38"/>
    <mergeCell ref="AH39:AJ39"/>
    <mergeCell ref="AH40:AJ40"/>
    <mergeCell ref="AH41:AJ41"/>
    <mergeCell ref="AM46:AN46"/>
    <mergeCell ref="AM47:AN47"/>
    <mergeCell ref="I14:J16"/>
    <mergeCell ref="K14:L16"/>
    <mergeCell ref="M14:M16"/>
    <mergeCell ref="N14:P16"/>
    <mergeCell ref="Q14:Q16"/>
    <mergeCell ref="S14:T16"/>
    <mergeCell ref="U14:V16"/>
    <mergeCell ref="W14:W16"/>
    <mergeCell ref="X14:Z16"/>
    <mergeCell ref="AA14:AA16"/>
    <mergeCell ref="AC14:AD16"/>
    <mergeCell ref="AE14:AF16"/>
    <mergeCell ref="AG14:AG16"/>
    <mergeCell ref="AH14:AJ16"/>
    <mergeCell ref="AK14:AK16"/>
    <mergeCell ref="AM14:AN16"/>
    <mergeCell ref="AO14:AP16"/>
    <mergeCell ref="AQ14:AQ16"/>
    <mergeCell ref="AR14:AT16"/>
    <mergeCell ref="AU14:AU16"/>
    <mergeCell ref="B1:G13"/>
    <mergeCell ref="I1:AV8"/>
    <mergeCell ref="J11:N11"/>
    <mergeCell ref="T11:X11"/>
    <mergeCell ref="AD11:AH11"/>
    <mergeCell ref="AN11:AR11"/>
    <mergeCell ref="B14:B16"/>
    <mergeCell ref="AO17:AP17"/>
    <mergeCell ref="AR17:AT17"/>
    <mergeCell ref="S17:T17"/>
    <mergeCell ref="U17:V17"/>
    <mergeCell ref="X17:Z17"/>
    <mergeCell ref="AC17:AD17"/>
    <mergeCell ref="AE17:AF17"/>
    <mergeCell ref="AH17:AJ17"/>
    <mergeCell ref="AM17:AN17"/>
    <mergeCell ref="C14:D16"/>
    <mergeCell ref="E14:G16"/>
    <mergeCell ref="C17:D17"/>
    <mergeCell ref="E17:G17"/>
    <mergeCell ref="I17:J17"/>
    <mergeCell ref="K17:L17"/>
    <mergeCell ref="N17:P17"/>
    <mergeCell ref="X18:Z18"/>
    <mergeCell ref="AC18:AD18"/>
    <mergeCell ref="AE18:AF18"/>
    <mergeCell ref="AH18:AJ18"/>
    <mergeCell ref="AM18:AN18"/>
    <mergeCell ref="AO18:AP18"/>
    <mergeCell ref="AR18:AT18"/>
    <mergeCell ref="C18:D18"/>
    <mergeCell ref="E18:G18"/>
    <mergeCell ref="I18:J18"/>
    <mergeCell ref="K18:L18"/>
    <mergeCell ref="N18:P18"/>
    <mergeCell ref="S18:T18"/>
    <mergeCell ref="U18:V18"/>
    <mergeCell ref="X19:Z19"/>
    <mergeCell ref="AC19:AD19"/>
    <mergeCell ref="AE19:AF19"/>
    <mergeCell ref="AH19:AJ19"/>
    <mergeCell ref="AM19:AN19"/>
    <mergeCell ref="AO19:AP19"/>
    <mergeCell ref="AR19:AT19"/>
    <mergeCell ref="C19:D19"/>
    <mergeCell ref="E19:G19"/>
    <mergeCell ref="I19:J19"/>
    <mergeCell ref="K19:L19"/>
    <mergeCell ref="N19:P19"/>
    <mergeCell ref="S19:T19"/>
    <mergeCell ref="U19:V19"/>
    <mergeCell ref="X20:Z20"/>
    <mergeCell ref="AC20:AD20"/>
    <mergeCell ref="AE20:AF20"/>
    <mergeCell ref="AH20:AJ20"/>
    <mergeCell ref="AM20:AN20"/>
    <mergeCell ref="AO20:AP20"/>
    <mergeCell ref="AR20:AT20"/>
    <mergeCell ref="X21:Z21"/>
    <mergeCell ref="AC21:AD21"/>
    <mergeCell ref="AE21:AF21"/>
    <mergeCell ref="AH21:AJ21"/>
    <mergeCell ref="AM21:AN21"/>
    <mergeCell ref="AO21:AP21"/>
    <mergeCell ref="AR21:AT21"/>
    <mergeCell ref="X22:Z22"/>
    <mergeCell ref="AC22:AD22"/>
    <mergeCell ref="AE22:AF22"/>
    <mergeCell ref="AH22:AJ22"/>
    <mergeCell ref="AM22:AN22"/>
    <mergeCell ref="AO22:AP22"/>
    <mergeCell ref="AR22:AT22"/>
    <mergeCell ref="C22:D22"/>
    <mergeCell ref="E22:G22"/>
    <mergeCell ref="I22:J22"/>
    <mergeCell ref="K22:L22"/>
    <mergeCell ref="N22:P22"/>
    <mergeCell ref="S22:T22"/>
    <mergeCell ref="U22:V22"/>
    <mergeCell ref="C20:D20"/>
    <mergeCell ref="E20:G20"/>
    <mergeCell ref="I20:J20"/>
    <mergeCell ref="K20:L20"/>
    <mergeCell ref="N20:P20"/>
    <mergeCell ref="S20:T20"/>
    <mergeCell ref="U20:V20"/>
    <mergeCell ref="C21:D21"/>
    <mergeCell ref="E21:G21"/>
    <mergeCell ref="I21:J21"/>
    <mergeCell ref="K21:L21"/>
    <mergeCell ref="N21:P21"/>
    <mergeCell ref="S21:T21"/>
    <mergeCell ref="U21:V21"/>
    <mergeCell ref="X23:Z23"/>
    <mergeCell ref="AC23:AD23"/>
    <mergeCell ref="AE23:AF23"/>
    <mergeCell ref="AH23:AJ23"/>
    <mergeCell ref="AM23:AN23"/>
    <mergeCell ref="AO23:AP23"/>
    <mergeCell ref="AR23:AT23"/>
    <mergeCell ref="C23:D23"/>
    <mergeCell ref="E23:G23"/>
    <mergeCell ref="I23:J23"/>
    <mergeCell ref="K23:L23"/>
    <mergeCell ref="N23:P23"/>
    <mergeCell ref="S23:T23"/>
    <mergeCell ref="U23:V23"/>
    <mergeCell ref="X24:Z24"/>
    <mergeCell ref="AC24:AD24"/>
    <mergeCell ref="AE24:AF24"/>
    <mergeCell ref="AH24:AJ24"/>
    <mergeCell ref="AM24:AN24"/>
    <mergeCell ref="AO24:AP24"/>
    <mergeCell ref="AR24:AT24"/>
    <mergeCell ref="X25:Z25"/>
    <mergeCell ref="AC25:AD25"/>
    <mergeCell ref="AE25:AF25"/>
    <mergeCell ref="AH25:AJ25"/>
    <mergeCell ref="AM25:AN25"/>
    <mergeCell ref="AO25:AP25"/>
    <mergeCell ref="AR25:AT25"/>
    <mergeCell ref="X26:Z26"/>
    <mergeCell ref="AC26:AD26"/>
    <mergeCell ref="AE26:AF26"/>
    <mergeCell ref="AH26:AJ26"/>
    <mergeCell ref="AM26:AN26"/>
    <mergeCell ref="AO26:AP26"/>
    <mergeCell ref="AR26:AT26"/>
    <mergeCell ref="C26:D26"/>
    <mergeCell ref="E26:G26"/>
    <mergeCell ref="I26:J26"/>
    <mergeCell ref="K26:L26"/>
    <mergeCell ref="N26:P26"/>
    <mergeCell ref="S26:T26"/>
    <mergeCell ref="U26:V26"/>
    <mergeCell ref="C24:D24"/>
    <mergeCell ref="E24:G24"/>
    <mergeCell ref="I24:J24"/>
    <mergeCell ref="K24:L24"/>
    <mergeCell ref="N24:P24"/>
    <mergeCell ref="S24:T24"/>
    <mergeCell ref="U24:V24"/>
    <mergeCell ref="C25:D25"/>
    <mergeCell ref="E25:G25"/>
    <mergeCell ref="I25:J25"/>
    <mergeCell ref="K25:L25"/>
    <mergeCell ref="N25:P25"/>
    <mergeCell ref="S25:T25"/>
    <mergeCell ref="U25:V25"/>
    <mergeCell ref="X27:Z27"/>
    <mergeCell ref="AC27:AD27"/>
    <mergeCell ref="AE27:AF27"/>
    <mergeCell ref="AH27:AJ27"/>
    <mergeCell ref="AM27:AN27"/>
    <mergeCell ref="AO27:AP27"/>
    <mergeCell ref="AR27:AT27"/>
    <mergeCell ref="C27:D27"/>
    <mergeCell ref="E27:G27"/>
    <mergeCell ref="I27:J27"/>
    <mergeCell ref="K27:L27"/>
    <mergeCell ref="N27:P27"/>
    <mergeCell ref="S27:T27"/>
    <mergeCell ref="U27:V27"/>
    <mergeCell ref="X28:Z28"/>
    <mergeCell ref="AC28:AD28"/>
    <mergeCell ref="AE28:AF28"/>
    <mergeCell ref="AH28:AJ28"/>
    <mergeCell ref="AM28:AN28"/>
    <mergeCell ref="AO28:AP28"/>
    <mergeCell ref="AR28:AT28"/>
    <mergeCell ref="C28:D28"/>
    <mergeCell ref="E28:G28"/>
    <mergeCell ref="I28:J28"/>
    <mergeCell ref="K28:L28"/>
    <mergeCell ref="N28:P28"/>
    <mergeCell ref="S28:T28"/>
    <mergeCell ref="U28:V28"/>
    <mergeCell ref="X29:Z29"/>
    <mergeCell ref="AC29:AD29"/>
    <mergeCell ref="AE29:AF29"/>
    <mergeCell ref="AH29:AJ29"/>
    <mergeCell ref="AM29:AN29"/>
    <mergeCell ref="AO29:AP29"/>
    <mergeCell ref="AR29:AT29"/>
    <mergeCell ref="C29:D29"/>
    <mergeCell ref="E29:G29"/>
    <mergeCell ref="K29:L29"/>
    <mergeCell ref="S29:T29"/>
    <mergeCell ref="U29:V29"/>
    <mergeCell ref="C30:D30"/>
    <mergeCell ref="K30:L30"/>
    <mergeCell ref="AO30:AP30"/>
    <mergeCell ref="AR30:AT30"/>
    <mergeCell ref="S30:T30"/>
    <mergeCell ref="U30:V30"/>
    <mergeCell ref="X30:Z30"/>
    <mergeCell ref="AC30:AD30"/>
    <mergeCell ref="AE30:AF30"/>
    <mergeCell ref="AH30:AJ30"/>
    <mergeCell ref="AM30:AN30"/>
    <mergeCell ref="AM32:AN34"/>
    <mergeCell ref="AO32:AP34"/>
    <mergeCell ref="AQ32:AQ34"/>
    <mergeCell ref="AR32:AT34"/>
    <mergeCell ref="AU32:AU34"/>
    <mergeCell ref="AM35:AN35"/>
    <mergeCell ref="AO35:AP35"/>
    <mergeCell ref="AR35:AT35"/>
    <mergeCell ref="C32:D34"/>
    <mergeCell ref="C35:D35"/>
    <mergeCell ref="S32:T34"/>
    <mergeCell ref="S35:T35"/>
    <mergeCell ref="N29:P29"/>
    <mergeCell ref="N30:P30"/>
    <mergeCell ref="N32:P34"/>
    <mergeCell ref="Q32:Q34"/>
    <mergeCell ref="U32:V34"/>
    <mergeCell ref="W32:W34"/>
    <mergeCell ref="N35:P35"/>
    <mergeCell ref="U35:V35"/>
    <mergeCell ref="AM40:AN40"/>
    <mergeCell ref="AM41:AN41"/>
    <mergeCell ref="AM36:AN36"/>
    <mergeCell ref="AM37:AN37"/>
    <mergeCell ref="AM38:AN38"/>
    <mergeCell ref="AO38:AP38"/>
    <mergeCell ref="AM39:AN39"/>
    <mergeCell ref="AO39:AP39"/>
    <mergeCell ref="AO40:AP40"/>
    <mergeCell ref="AO41:AP41"/>
    <mergeCell ref="I32:J34"/>
    <mergeCell ref="I35:J35"/>
    <mergeCell ref="I36:J36"/>
    <mergeCell ref="I37:J37"/>
    <mergeCell ref="I29:J29"/>
    <mergeCell ref="I30:J30"/>
    <mergeCell ref="B32:B34"/>
    <mergeCell ref="E32:G34"/>
    <mergeCell ref="K32:L34"/>
    <mergeCell ref="M32:M34"/>
    <mergeCell ref="K35:L35"/>
    <mergeCell ref="E35:G35"/>
    <mergeCell ref="C36:D36"/>
    <mergeCell ref="E36:G36"/>
    <mergeCell ref="K36:L36"/>
    <mergeCell ref="N36:P36"/>
    <mergeCell ref="S36:T36"/>
    <mergeCell ref="U36:V36"/>
    <mergeCell ref="N37:P37"/>
    <mergeCell ref="N38:P38"/>
    <mergeCell ref="N39:P39"/>
    <mergeCell ref="N40:P40"/>
    <mergeCell ref="N41:P41"/>
    <mergeCell ref="S38:T38"/>
    <mergeCell ref="U38:V38"/>
    <mergeCell ref="S39:T39"/>
    <mergeCell ref="U39:V39"/>
    <mergeCell ref="S40:T40"/>
    <mergeCell ref="U40:V40"/>
    <mergeCell ref="S41:T41"/>
    <mergeCell ref="U41:V41"/>
    <mergeCell ref="C37:D37"/>
    <mergeCell ref="E37:G37"/>
    <mergeCell ref="K37:L37"/>
    <mergeCell ref="S37:T37"/>
    <mergeCell ref="U37:V37"/>
    <mergeCell ref="C38:D38"/>
    <mergeCell ref="K38:L38"/>
    <mergeCell ref="C40:D40"/>
    <mergeCell ref="C41:D41"/>
    <mergeCell ref="E41:G41"/>
    <mergeCell ref="I41:J41"/>
    <mergeCell ref="K41:L41"/>
    <mergeCell ref="C46:D46"/>
    <mergeCell ref="E46:G46"/>
    <mergeCell ref="I46:J46"/>
    <mergeCell ref="K46:L46"/>
    <mergeCell ref="N46:P46"/>
    <mergeCell ref="S46:T46"/>
    <mergeCell ref="U46:V46"/>
    <mergeCell ref="C47:D47"/>
    <mergeCell ref="E47:G47"/>
    <mergeCell ref="I47:J47"/>
    <mergeCell ref="K47:L47"/>
    <mergeCell ref="N47:P47"/>
    <mergeCell ref="S47:T47"/>
    <mergeCell ref="U47:V47"/>
    <mergeCell ref="AR50:AT52"/>
    <mergeCell ref="AU50:AU52"/>
    <mergeCell ref="AR53:AT53"/>
    <mergeCell ref="AC50:AD52"/>
    <mergeCell ref="AC53:AD53"/>
    <mergeCell ref="AE53:AF53"/>
    <mergeCell ref="Q50:Q52"/>
    <mergeCell ref="S50:T52"/>
    <mergeCell ref="U50:V52"/>
    <mergeCell ref="W50:W52"/>
    <mergeCell ref="X50:Z52"/>
    <mergeCell ref="AA50:AA52"/>
    <mergeCell ref="X53:Z53"/>
    <mergeCell ref="AM50:AN52"/>
    <mergeCell ref="AM53:AN53"/>
    <mergeCell ref="AE50:AF52"/>
    <mergeCell ref="AG50:AG52"/>
    <mergeCell ref="AH50:AJ52"/>
    <mergeCell ref="AK50:AK52"/>
    <mergeCell ref="AO50:AP52"/>
    <mergeCell ref="AQ50:AQ52"/>
    <mergeCell ref="AH53:AJ53"/>
    <mergeCell ref="AO53:AP53"/>
    <mergeCell ref="I39:J39"/>
    <mergeCell ref="I40:J40"/>
    <mergeCell ref="E38:G38"/>
    <mergeCell ref="I38:J38"/>
    <mergeCell ref="C39:D39"/>
    <mergeCell ref="E39:G39"/>
    <mergeCell ref="K39:L39"/>
    <mergeCell ref="E40:G40"/>
    <mergeCell ref="K40:L40"/>
    <mergeCell ref="C42:D42"/>
    <mergeCell ref="E42:G42"/>
    <mergeCell ref="I42:J42"/>
    <mergeCell ref="K42:L42"/>
    <mergeCell ref="N42:P42"/>
    <mergeCell ref="S42:T42"/>
    <mergeCell ref="U42:V42"/>
    <mergeCell ref="C43:D43"/>
    <mergeCell ref="E43:G43"/>
    <mergeCell ref="I43:J43"/>
    <mergeCell ref="K43:L43"/>
    <mergeCell ref="N43:P43"/>
    <mergeCell ref="S43:T43"/>
    <mergeCell ref="U43:V43"/>
    <mergeCell ref="C44:D44"/>
    <mergeCell ref="E44:G44"/>
    <mergeCell ref="I44:J44"/>
    <mergeCell ref="K44:L44"/>
    <mergeCell ref="N44:P44"/>
    <mergeCell ref="S44:T44"/>
    <mergeCell ref="U44:V44"/>
    <mergeCell ref="C45:D45"/>
    <mergeCell ref="E45:G45"/>
    <mergeCell ref="I45:J45"/>
    <mergeCell ref="K45:L45"/>
    <mergeCell ref="N45:P45"/>
    <mergeCell ref="S45:T45"/>
    <mergeCell ref="U45:V45"/>
    <mergeCell ref="B50:B52"/>
    <mergeCell ref="C50:D52"/>
    <mergeCell ref="E50:G52"/>
    <mergeCell ref="I50:J52"/>
    <mergeCell ref="K50:L52"/>
    <mergeCell ref="M50:M52"/>
    <mergeCell ref="N50:P52"/>
    <mergeCell ref="C53:D53"/>
    <mergeCell ref="E53:G53"/>
    <mergeCell ref="I53:J53"/>
    <mergeCell ref="K53:L53"/>
    <mergeCell ref="N53:P53"/>
    <mergeCell ref="S53:T53"/>
    <mergeCell ref="U53:V53"/>
    <mergeCell ref="X54:Z54"/>
    <mergeCell ref="AC54:AD54"/>
    <mergeCell ref="AE54:AF54"/>
    <mergeCell ref="AH54:AJ54"/>
    <mergeCell ref="AM54:AN54"/>
    <mergeCell ref="AO54:AP54"/>
    <mergeCell ref="AR54:AT54"/>
    <mergeCell ref="C54:D54"/>
    <mergeCell ref="E54:G54"/>
    <mergeCell ref="I54:J54"/>
    <mergeCell ref="K54:L54"/>
    <mergeCell ref="N54:P54"/>
    <mergeCell ref="S54:T54"/>
    <mergeCell ref="U54:V54"/>
    <mergeCell ref="X55:Z55"/>
    <mergeCell ref="AC55:AD55"/>
    <mergeCell ref="AE55:AF55"/>
    <mergeCell ref="AH55:AJ55"/>
    <mergeCell ref="AM55:AN55"/>
    <mergeCell ref="AO55:AP55"/>
    <mergeCell ref="AR55:AT55"/>
    <mergeCell ref="C55:D55"/>
    <mergeCell ref="E55:G55"/>
    <mergeCell ref="I55:J55"/>
    <mergeCell ref="K55:L55"/>
    <mergeCell ref="N55:P55"/>
    <mergeCell ref="S55:T55"/>
    <mergeCell ref="U55:V55"/>
    <mergeCell ref="X56:Z56"/>
    <mergeCell ref="AC56:AD56"/>
    <mergeCell ref="AE56:AF56"/>
    <mergeCell ref="AH56:AJ56"/>
    <mergeCell ref="AM56:AN56"/>
    <mergeCell ref="AO56:AP56"/>
    <mergeCell ref="AR56:AT56"/>
    <mergeCell ref="X57:Z57"/>
    <mergeCell ref="AC57:AD57"/>
    <mergeCell ref="AE57:AF57"/>
    <mergeCell ref="AH57:AJ57"/>
    <mergeCell ref="AM57:AN57"/>
    <mergeCell ref="AO57:AP57"/>
    <mergeCell ref="AR57:AT57"/>
    <mergeCell ref="C56:D56"/>
    <mergeCell ref="E56:G56"/>
    <mergeCell ref="I56:J56"/>
    <mergeCell ref="K56:L56"/>
    <mergeCell ref="N56:P56"/>
    <mergeCell ref="S56:T56"/>
    <mergeCell ref="U56:V56"/>
    <mergeCell ref="C57:D57"/>
    <mergeCell ref="E57:G57"/>
    <mergeCell ref="I57:J57"/>
    <mergeCell ref="K57:L57"/>
    <mergeCell ref="N57:P57"/>
    <mergeCell ref="S57:T57"/>
    <mergeCell ref="U57:V57"/>
    <mergeCell ref="X58:Z58"/>
    <mergeCell ref="AC58:AD58"/>
    <mergeCell ref="AE58:AF58"/>
    <mergeCell ref="AH58:AJ58"/>
    <mergeCell ref="AM58:AN58"/>
    <mergeCell ref="AO58:AP58"/>
    <mergeCell ref="AR58:AT58"/>
    <mergeCell ref="C58:D58"/>
    <mergeCell ref="E58:G58"/>
    <mergeCell ref="I58:J58"/>
    <mergeCell ref="K58:L58"/>
    <mergeCell ref="N58:P58"/>
    <mergeCell ref="S58:T58"/>
    <mergeCell ref="U58:V58"/>
    <mergeCell ref="X59:Z59"/>
    <mergeCell ref="AC59:AD59"/>
    <mergeCell ref="AE59:AF59"/>
    <mergeCell ref="AH59:AJ59"/>
    <mergeCell ref="AM59:AN59"/>
    <mergeCell ref="AO59:AP59"/>
    <mergeCell ref="AR59:AT59"/>
    <mergeCell ref="X60:Z60"/>
    <mergeCell ref="AC60:AD60"/>
    <mergeCell ref="AE60:AF60"/>
    <mergeCell ref="AH60:AJ60"/>
    <mergeCell ref="AM60:AN60"/>
    <mergeCell ref="AO60:AP60"/>
    <mergeCell ref="AR60:AT60"/>
    <mergeCell ref="X61:Z61"/>
    <mergeCell ref="AC61:AD61"/>
    <mergeCell ref="AE61:AF61"/>
    <mergeCell ref="AH61:AJ61"/>
    <mergeCell ref="AM61:AN61"/>
    <mergeCell ref="AO61:AP61"/>
    <mergeCell ref="AR61:AT61"/>
    <mergeCell ref="C61:D61"/>
    <mergeCell ref="E61:G61"/>
    <mergeCell ref="I61:J61"/>
    <mergeCell ref="K61:L61"/>
    <mergeCell ref="N61:P61"/>
    <mergeCell ref="S61:T61"/>
    <mergeCell ref="U61:V61"/>
    <mergeCell ref="X71:Z71"/>
    <mergeCell ref="AC71:AD71"/>
    <mergeCell ref="AE71:AF71"/>
    <mergeCell ref="AH71:AJ71"/>
    <mergeCell ref="AM71:AN71"/>
    <mergeCell ref="AO71:AP71"/>
    <mergeCell ref="AR71:AT71"/>
    <mergeCell ref="C71:D71"/>
    <mergeCell ref="E71:G71"/>
    <mergeCell ref="I71:J71"/>
    <mergeCell ref="K71:L71"/>
    <mergeCell ref="N71:P71"/>
    <mergeCell ref="S71:T71"/>
    <mergeCell ref="U71:V71"/>
    <mergeCell ref="C59:D59"/>
    <mergeCell ref="E59:G59"/>
    <mergeCell ref="I59:J59"/>
    <mergeCell ref="K59:L59"/>
    <mergeCell ref="N59:P59"/>
    <mergeCell ref="S59:T59"/>
    <mergeCell ref="U59:V59"/>
    <mergeCell ref="C60:D60"/>
    <mergeCell ref="E60:G60"/>
    <mergeCell ref="I60:J60"/>
    <mergeCell ref="K60:L60"/>
    <mergeCell ref="N60:P60"/>
    <mergeCell ref="S60:T60"/>
    <mergeCell ref="U60:V60"/>
    <mergeCell ref="X62:Z62"/>
    <mergeCell ref="AC62:AD62"/>
    <mergeCell ref="AE62:AF62"/>
    <mergeCell ref="AH62:AJ62"/>
    <mergeCell ref="AM62:AN62"/>
    <mergeCell ref="AO62:AP62"/>
    <mergeCell ref="AR62:AT62"/>
    <mergeCell ref="C62:D62"/>
    <mergeCell ref="E62:G62"/>
    <mergeCell ref="I62:J62"/>
    <mergeCell ref="K62:L62"/>
    <mergeCell ref="N62:P62"/>
    <mergeCell ref="S62:T62"/>
    <mergeCell ref="U62:V62"/>
    <mergeCell ref="X63:Z63"/>
    <mergeCell ref="AC63:AD63"/>
    <mergeCell ref="AE63:AF63"/>
    <mergeCell ref="AH63:AJ63"/>
    <mergeCell ref="AM63:AN63"/>
    <mergeCell ref="AO63:AP63"/>
    <mergeCell ref="AR63:AT63"/>
    <mergeCell ref="X64:Z64"/>
    <mergeCell ref="AC64:AD64"/>
    <mergeCell ref="AE64:AF64"/>
    <mergeCell ref="AH64:AJ64"/>
    <mergeCell ref="AM64:AN64"/>
    <mergeCell ref="AO64:AP64"/>
    <mergeCell ref="AR64:AT64"/>
    <mergeCell ref="X65:Z65"/>
    <mergeCell ref="AC65:AD65"/>
    <mergeCell ref="AE65:AF65"/>
    <mergeCell ref="AH65:AJ65"/>
    <mergeCell ref="AM65:AN65"/>
    <mergeCell ref="AO65:AP65"/>
    <mergeCell ref="AR65:AT65"/>
    <mergeCell ref="C65:D65"/>
    <mergeCell ref="E65:G65"/>
    <mergeCell ref="I65:J65"/>
    <mergeCell ref="K65:L65"/>
    <mergeCell ref="N65:P65"/>
    <mergeCell ref="S65:T65"/>
    <mergeCell ref="U65:V65"/>
    <mergeCell ref="X79:Z79"/>
    <mergeCell ref="AC79:AD79"/>
    <mergeCell ref="AE79:AF79"/>
    <mergeCell ref="AH79:AJ79"/>
    <mergeCell ref="AM79:AN79"/>
    <mergeCell ref="AO79:AP79"/>
    <mergeCell ref="AR79:AT79"/>
    <mergeCell ref="C79:D79"/>
    <mergeCell ref="E79:G79"/>
    <mergeCell ref="I79:J79"/>
    <mergeCell ref="K79:L79"/>
    <mergeCell ref="N79:P79"/>
    <mergeCell ref="S79:T79"/>
    <mergeCell ref="U79:V79"/>
    <mergeCell ref="X80:Z80"/>
    <mergeCell ref="AC80:AD80"/>
    <mergeCell ref="AE80:AF80"/>
    <mergeCell ref="AH80:AJ80"/>
    <mergeCell ref="AM80:AN80"/>
    <mergeCell ref="AO80:AP80"/>
    <mergeCell ref="AR80:AT80"/>
    <mergeCell ref="C80:D80"/>
    <mergeCell ref="E80:G80"/>
    <mergeCell ref="I80:J80"/>
    <mergeCell ref="K80:L80"/>
    <mergeCell ref="N80:P80"/>
    <mergeCell ref="S80:T80"/>
    <mergeCell ref="U80:V80"/>
    <mergeCell ref="X81:Z81"/>
    <mergeCell ref="AC81:AD81"/>
    <mergeCell ref="AE81:AF81"/>
    <mergeCell ref="AH81:AJ81"/>
    <mergeCell ref="AM81:AN81"/>
    <mergeCell ref="AO81:AP81"/>
    <mergeCell ref="AR81:AT81"/>
    <mergeCell ref="C81:D81"/>
    <mergeCell ref="E81:G81"/>
    <mergeCell ref="I81:J81"/>
    <mergeCell ref="K81:L81"/>
    <mergeCell ref="N81:P81"/>
    <mergeCell ref="S81:T81"/>
    <mergeCell ref="U81:V81"/>
    <mergeCell ref="X82:Z82"/>
    <mergeCell ref="AC82:AD82"/>
    <mergeCell ref="AE82:AF82"/>
    <mergeCell ref="AH82:AJ82"/>
    <mergeCell ref="AM82:AN82"/>
    <mergeCell ref="AO82:AP82"/>
    <mergeCell ref="AR82:AT82"/>
    <mergeCell ref="C82:D82"/>
    <mergeCell ref="E82:G82"/>
    <mergeCell ref="I82:J82"/>
    <mergeCell ref="K82:L82"/>
    <mergeCell ref="N82:P82"/>
    <mergeCell ref="S82:T82"/>
    <mergeCell ref="U82:V82"/>
    <mergeCell ref="C63:D63"/>
    <mergeCell ref="E63:G63"/>
    <mergeCell ref="I63:J63"/>
    <mergeCell ref="K63:L63"/>
    <mergeCell ref="N63:P63"/>
    <mergeCell ref="S63:T63"/>
    <mergeCell ref="U63:V63"/>
    <mergeCell ref="C64:D64"/>
    <mergeCell ref="E64:G64"/>
    <mergeCell ref="I64:J64"/>
    <mergeCell ref="K64:L64"/>
    <mergeCell ref="N64:P64"/>
    <mergeCell ref="S64:T64"/>
    <mergeCell ref="U64:V64"/>
    <mergeCell ref="Q68:Q70"/>
    <mergeCell ref="S68:T70"/>
    <mergeCell ref="U68:V70"/>
    <mergeCell ref="W68:W70"/>
    <mergeCell ref="X68:Z70"/>
    <mergeCell ref="AA68:AA70"/>
    <mergeCell ref="AC68:AD70"/>
    <mergeCell ref="AR68:AT70"/>
    <mergeCell ref="AU68:AU70"/>
    <mergeCell ref="AE68:AF70"/>
    <mergeCell ref="AG68:AG70"/>
    <mergeCell ref="AH68:AJ70"/>
    <mergeCell ref="AK68:AK70"/>
    <mergeCell ref="AM68:AN70"/>
    <mergeCell ref="AO68:AP70"/>
    <mergeCell ref="AQ68:AQ70"/>
    <mergeCell ref="B68:B70"/>
    <mergeCell ref="C68:D70"/>
    <mergeCell ref="E68:G70"/>
    <mergeCell ref="I68:J70"/>
    <mergeCell ref="K68:L70"/>
    <mergeCell ref="M68:M70"/>
    <mergeCell ref="N68:P70"/>
    <mergeCell ref="X83:Z83"/>
    <mergeCell ref="AC83:AD83"/>
    <mergeCell ref="AE83:AF83"/>
    <mergeCell ref="AH83:AJ83"/>
    <mergeCell ref="AM83:AN83"/>
    <mergeCell ref="AO83:AP83"/>
    <mergeCell ref="AR83:AT83"/>
    <mergeCell ref="C83:D83"/>
    <mergeCell ref="E83:G83"/>
    <mergeCell ref="I83:J83"/>
    <mergeCell ref="K83:L83"/>
    <mergeCell ref="N83:P83"/>
    <mergeCell ref="S83:T83"/>
    <mergeCell ref="U83:V83"/>
    <mergeCell ref="X72:Z72"/>
    <mergeCell ref="AC72:AD72"/>
    <mergeCell ref="AE72:AF72"/>
    <mergeCell ref="AH72:AJ72"/>
    <mergeCell ref="AM72:AN72"/>
    <mergeCell ref="AO72:AP72"/>
    <mergeCell ref="AR72:AT72"/>
    <mergeCell ref="C72:D72"/>
    <mergeCell ref="E72:G72"/>
    <mergeCell ref="I72:J72"/>
    <mergeCell ref="K72:L72"/>
    <mergeCell ref="N72:P72"/>
    <mergeCell ref="S72:T72"/>
    <mergeCell ref="U72:V72"/>
    <mergeCell ref="X73:Z73"/>
    <mergeCell ref="AC73:AD73"/>
    <mergeCell ref="AE73:AF73"/>
    <mergeCell ref="AH73:AJ73"/>
    <mergeCell ref="AM73:AN73"/>
    <mergeCell ref="AO73:AP73"/>
    <mergeCell ref="AR73:AT73"/>
    <mergeCell ref="C73:D73"/>
    <mergeCell ref="E73:G73"/>
    <mergeCell ref="I73:J73"/>
    <mergeCell ref="K73:L73"/>
    <mergeCell ref="N73:P73"/>
    <mergeCell ref="S73:T73"/>
    <mergeCell ref="U73:V73"/>
    <mergeCell ref="X74:Z74"/>
    <mergeCell ref="AC74:AD74"/>
    <mergeCell ref="AE74:AF74"/>
    <mergeCell ref="AH74:AJ74"/>
    <mergeCell ref="AM74:AN74"/>
    <mergeCell ref="AO74:AP74"/>
    <mergeCell ref="AR74:AT74"/>
    <mergeCell ref="C74:D74"/>
    <mergeCell ref="E74:G74"/>
    <mergeCell ref="I74:J74"/>
    <mergeCell ref="K74:L74"/>
    <mergeCell ref="N74:P74"/>
    <mergeCell ref="S74:T74"/>
    <mergeCell ref="U74:V74"/>
    <mergeCell ref="X75:Z75"/>
    <mergeCell ref="AC75:AD75"/>
    <mergeCell ref="AE75:AF75"/>
    <mergeCell ref="AH75:AJ75"/>
    <mergeCell ref="AM75:AN75"/>
    <mergeCell ref="AO75:AP75"/>
    <mergeCell ref="AR75:AT75"/>
    <mergeCell ref="C75:D75"/>
    <mergeCell ref="E75:G75"/>
    <mergeCell ref="I75:J75"/>
    <mergeCell ref="K75:L75"/>
    <mergeCell ref="N75:P75"/>
    <mergeCell ref="S75:T75"/>
    <mergeCell ref="U75:V75"/>
    <mergeCell ref="X76:Z76"/>
    <mergeCell ref="AC76:AD76"/>
    <mergeCell ref="AE76:AF76"/>
    <mergeCell ref="AH76:AJ76"/>
    <mergeCell ref="AM76:AN76"/>
    <mergeCell ref="AO76:AP76"/>
    <mergeCell ref="AR76:AT76"/>
    <mergeCell ref="C76:D76"/>
    <mergeCell ref="E76:G76"/>
    <mergeCell ref="I76:J76"/>
    <mergeCell ref="K76:L76"/>
    <mergeCell ref="N76:P76"/>
    <mergeCell ref="S76:T76"/>
    <mergeCell ref="U76:V76"/>
    <mergeCell ref="X77:Z77"/>
    <mergeCell ref="AC77:AD77"/>
    <mergeCell ref="AE77:AF77"/>
    <mergeCell ref="AH77:AJ77"/>
    <mergeCell ref="AM77:AN77"/>
    <mergeCell ref="AO77:AP77"/>
    <mergeCell ref="AR77:AT77"/>
    <mergeCell ref="C77:D77"/>
    <mergeCell ref="E77:G77"/>
    <mergeCell ref="I77:J77"/>
    <mergeCell ref="K77:L77"/>
    <mergeCell ref="N77:P77"/>
    <mergeCell ref="S77:T77"/>
    <mergeCell ref="U77:V77"/>
    <mergeCell ref="X78:Z78"/>
    <mergeCell ref="AC78:AD78"/>
    <mergeCell ref="AE78:AF78"/>
    <mergeCell ref="AH78:AJ78"/>
    <mergeCell ref="AM78:AN78"/>
    <mergeCell ref="AO78:AP78"/>
    <mergeCell ref="AR78:AT78"/>
    <mergeCell ref="C78:D78"/>
    <mergeCell ref="E78:G78"/>
    <mergeCell ref="I78:J78"/>
    <mergeCell ref="K78:L78"/>
    <mergeCell ref="N78:P78"/>
    <mergeCell ref="S78:T78"/>
    <mergeCell ref="U78:V78"/>
  </mergeCells>
  <dataValidations>
    <dataValidation type="list" allowBlank="1" sqref="C17:C29 C35:C47 C53:C65 C71:C83">
      <formula1>"CADENA POSTERIOR,HAZ CLAVICULAR,HAZ ESTERNOCOSTAL,ESPALDA ALTA,DORSAL,DELT.ANTERIOR,DELT.LATERAL,DELT.POSTERIOR,TRÍCEPS,BÍCEPS,ADUCTOR,ISQUIOS,CUÁDRICEPS,GLÚTEO,GASTROGNEMIO,SÓLEO,ABDOMINALES"</formula1>
    </dataValidation>
  </dataValidations>
  <hyperlinks>
    <hyperlink r:id="rId1" ref="B17"/>
    <hyperlink r:id="rId2" ref="B18"/>
    <hyperlink r:id="rId3" ref="B19"/>
    <hyperlink r:id="rId4" ref="B20"/>
    <hyperlink r:id="rId5" ref="B21"/>
    <hyperlink r:id="rId6" ref="B22"/>
    <hyperlink r:id="rId7" ref="B23"/>
    <hyperlink r:id="rId8" ref="B24"/>
    <hyperlink r:id="rId9" ref="B35"/>
    <hyperlink r:id="rId10" ref="B36"/>
    <hyperlink r:id="rId11" ref="B37"/>
    <hyperlink r:id="rId12" ref="B38"/>
    <hyperlink r:id="rId13" ref="B39"/>
    <hyperlink r:id="rId14" ref="B40"/>
    <hyperlink r:id="rId15" ref="B53"/>
    <hyperlink r:id="rId16" ref="B54"/>
    <hyperlink r:id="rId17" ref="B55"/>
    <hyperlink r:id="rId18" ref="B56"/>
    <hyperlink r:id="rId19" ref="B57"/>
    <hyperlink r:id="rId20" ref="B58"/>
    <hyperlink r:id="rId21" ref="B59"/>
    <hyperlink r:id="rId22" ref="B60"/>
    <hyperlink r:id="rId23" ref="B71"/>
    <hyperlink r:id="rId24" ref="B72"/>
    <hyperlink r:id="rId25" ref="B73"/>
    <hyperlink r:id="rId26" ref="B74"/>
    <hyperlink r:id="rId27" ref="B75"/>
    <hyperlink r:id="rId28" ref="B76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53.25"/>
    <col customWidth="1" min="3" max="67" width="12.63"/>
  </cols>
  <sheetData>
    <row r="1">
      <c r="A1" s="37"/>
      <c r="B1" s="74"/>
      <c r="H1" s="75"/>
      <c r="I1" s="195" t="s">
        <v>58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1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  <c r="BM1" s="77"/>
      <c r="BN1" s="77"/>
      <c r="BO1" s="78"/>
    </row>
    <row r="2">
      <c r="A2" s="74"/>
      <c r="H2" s="75"/>
      <c r="AV2" s="43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5"/>
    </row>
    <row r="3">
      <c r="A3" s="74"/>
      <c r="H3" s="75"/>
      <c r="AV3" s="43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5"/>
    </row>
    <row r="4">
      <c r="A4" s="74"/>
      <c r="H4" s="75"/>
      <c r="AV4" s="43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5"/>
    </row>
    <row r="5">
      <c r="A5" s="74"/>
      <c r="H5" s="75"/>
      <c r="AV5" s="43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5"/>
    </row>
    <row r="6">
      <c r="A6" s="74"/>
      <c r="H6" s="75"/>
      <c r="AV6" s="43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5"/>
    </row>
    <row r="7">
      <c r="A7" s="74"/>
      <c r="H7" s="75"/>
      <c r="AV7" s="43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</row>
    <row r="8">
      <c r="A8" s="74"/>
      <c r="H8" s="7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6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</row>
    <row r="9">
      <c r="A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>
      <c r="A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>
      <c r="A11" s="37"/>
      <c r="H11" s="37"/>
      <c r="I11" s="37"/>
      <c r="J11" s="80" t="s">
        <v>59</v>
      </c>
      <c r="K11" s="81"/>
      <c r="L11" s="81"/>
      <c r="M11" s="81"/>
      <c r="N11" s="82"/>
      <c r="O11" s="83" t="s">
        <v>60</v>
      </c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</row>
    <row r="12">
      <c r="A12" s="37"/>
      <c r="H12" s="84"/>
      <c r="I12" s="84"/>
      <c r="J12" s="84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</row>
    <row r="13">
      <c r="A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</row>
    <row r="14">
      <c r="A14" s="37"/>
      <c r="B14" s="85" t="s">
        <v>123</v>
      </c>
      <c r="C14" s="86" t="s">
        <v>62</v>
      </c>
      <c r="D14" s="87"/>
      <c r="E14" s="88" t="s">
        <v>63</v>
      </c>
      <c r="F14" s="40"/>
      <c r="G14" s="41"/>
      <c r="H14" s="37"/>
      <c r="I14" s="85" t="s">
        <v>64</v>
      </c>
      <c r="J14" s="87"/>
      <c r="K14" s="86" t="s">
        <v>65</v>
      </c>
      <c r="L14" s="87"/>
      <c r="M14" s="86" t="s">
        <v>66</v>
      </c>
      <c r="N14" s="86" t="s">
        <v>67</v>
      </c>
      <c r="O14" s="40"/>
      <c r="P14" s="87"/>
      <c r="Q14" s="89" t="s">
        <v>68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</row>
    <row r="15">
      <c r="A15" s="37"/>
      <c r="B15" s="42"/>
      <c r="C15" s="90"/>
      <c r="D15" s="25"/>
      <c r="E15" s="90"/>
      <c r="G15" s="43"/>
      <c r="H15" s="37"/>
      <c r="I15" s="42"/>
      <c r="J15" s="25"/>
      <c r="K15" s="90"/>
      <c r="L15" s="25"/>
      <c r="M15" s="90"/>
      <c r="N15" s="90"/>
      <c r="P15" s="25"/>
      <c r="Q15" s="91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</row>
    <row r="16">
      <c r="A16" s="37"/>
      <c r="B16" s="92"/>
      <c r="C16" s="27"/>
      <c r="D16" s="28"/>
      <c r="E16" s="27"/>
      <c r="F16" s="22"/>
      <c r="G16" s="93"/>
      <c r="H16" s="37"/>
      <c r="I16" s="92"/>
      <c r="J16" s="28"/>
      <c r="K16" s="27"/>
      <c r="L16" s="28"/>
      <c r="M16" s="27"/>
      <c r="N16" s="27"/>
      <c r="O16" s="22"/>
      <c r="P16" s="28"/>
      <c r="Q16" s="94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</row>
    <row r="17">
      <c r="A17" s="37"/>
      <c r="B17" s="109" t="s">
        <v>93</v>
      </c>
      <c r="C17" s="110" t="s">
        <v>94</v>
      </c>
      <c r="D17" s="25"/>
      <c r="E17" s="97" t="s">
        <v>82</v>
      </c>
      <c r="G17" s="43"/>
      <c r="H17" s="112"/>
      <c r="I17" s="113" t="s">
        <v>78</v>
      </c>
      <c r="J17" s="25"/>
      <c r="K17" s="196">
        <v>45999.0</v>
      </c>
      <c r="M17" s="115">
        <v>0.0</v>
      </c>
      <c r="N17" s="97" t="s">
        <v>73</v>
      </c>
      <c r="P17" s="25"/>
      <c r="Q17" s="116">
        <v>3101.0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</row>
    <row r="18">
      <c r="A18" s="37"/>
      <c r="B18" s="197" t="s">
        <v>104</v>
      </c>
      <c r="C18" s="136" t="s">
        <v>70</v>
      </c>
      <c r="D18" s="25"/>
      <c r="E18" s="139"/>
      <c r="G18" s="43"/>
      <c r="H18" s="112"/>
      <c r="I18" s="137">
        <v>2.0</v>
      </c>
      <c r="J18" s="25"/>
      <c r="K18" s="182">
        <v>45999.0</v>
      </c>
      <c r="M18" s="104">
        <v>0.0</v>
      </c>
      <c r="N18" s="123" t="s">
        <v>124</v>
      </c>
      <c r="P18" s="25"/>
      <c r="Q18" s="198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</row>
    <row r="19">
      <c r="A19" s="37"/>
      <c r="B19" s="141" t="s">
        <v>74</v>
      </c>
      <c r="C19" s="115" t="s">
        <v>75</v>
      </c>
      <c r="D19" s="25"/>
      <c r="E19" s="119"/>
      <c r="G19" s="43"/>
      <c r="H19" s="37"/>
      <c r="I19" s="117">
        <v>3.0</v>
      </c>
      <c r="J19" s="25"/>
      <c r="K19" s="118">
        <v>45875.0</v>
      </c>
      <c r="M19" s="115">
        <v>1.0</v>
      </c>
      <c r="N19" s="119"/>
      <c r="P19" s="25"/>
      <c r="Q19" s="120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</row>
    <row r="20">
      <c r="A20" s="37"/>
      <c r="B20" s="135" t="s">
        <v>110</v>
      </c>
      <c r="C20" s="154" t="s">
        <v>77</v>
      </c>
      <c r="D20" s="25"/>
      <c r="E20" s="139"/>
      <c r="G20" s="43"/>
      <c r="H20" s="112"/>
      <c r="I20" s="137">
        <v>3.0</v>
      </c>
      <c r="J20" s="25"/>
      <c r="K20" s="182">
        <v>45999.0</v>
      </c>
      <c r="M20" s="104">
        <v>0.0</v>
      </c>
      <c r="N20" s="123"/>
      <c r="P20" s="25"/>
      <c r="Q20" s="156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</row>
    <row r="21">
      <c r="A21" s="37"/>
      <c r="B21" s="109" t="s">
        <v>125</v>
      </c>
      <c r="C21" s="110" t="s">
        <v>89</v>
      </c>
      <c r="D21" s="25"/>
      <c r="E21" s="97" t="s">
        <v>126</v>
      </c>
      <c r="G21" s="43"/>
      <c r="H21" s="112"/>
      <c r="I21" s="113">
        <v>2.0</v>
      </c>
      <c r="J21" s="25"/>
      <c r="K21" s="196">
        <v>45999.0</v>
      </c>
      <c r="M21" s="115">
        <v>1.0</v>
      </c>
      <c r="N21" s="97"/>
      <c r="P21" s="25"/>
      <c r="Q21" s="116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</row>
    <row r="22">
      <c r="A22" s="37"/>
      <c r="B22" s="135" t="s">
        <v>127</v>
      </c>
      <c r="C22" s="154" t="s">
        <v>70</v>
      </c>
      <c r="D22" s="25"/>
      <c r="E22" s="139"/>
      <c r="G22" s="43"/>
      <c r="H22" s="112"/>
      <c r="I22" s="137">
        <v>2.0</v>
      </c>
      <c r="J22" s="25"/>
      <c r="K22" s="155" t="s">
        <v>79</v>
      </c>
      <c r="M22" s="104">
        <v>0.0</v>
      </c>
      <c r="N22" s="123" t="s">
        <v>124</v>
      </c>
      <c r="P22" s="25"/>
      <c r="Q22" s="156">
        <v>3200.0</v>
      </c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</row>
    <row r="23">
      <c r="A23" s="37"/>
      <c r="B23" s="141" t="s">
        <v>88</v>
      </c>
      <c r="C23" s="115" t="s">
        <v>89</v>
      </c>
      <c r="D23" s="25"/>
      <c r="E23" s="97" t="s">
        <v>128</v>
      </c>
      <c r="G23" s="43"/>
      <c r="H23" s="37"/>
      <c r="I23" s="117">
        <v>2.0</v>
      </c>
      <c r="J23" s="25"/>
      <c r="K23" s="199" t="s">
        <v>79</v>
      </c>
      <c r="M23" s="115">
        <v>0.0</v>
      </c>
      <c r="N23" s="97"/>
      <c r="P23" s="25"/>
      <c r="Q23" s="120">
        <v>3200.0</v>
      </c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</row>
    <row r="24">
      <c r="A24" s="37"/>
      <c r="B24" s="200"/>
      <c r="C24" s="104"/>
      <c r="D24" s="25"/>
      <c r="E24" s="105"/>
      <c r="G24" s="43"/>
      <c r="H24" s="37"/>
      <c r="I24" s="106"/>
      <c r="J24" s="25"/>
      <c r="K24" s="128"/>
      <c r="M24" s="104"/>
      <c r="N24" s="123"/>
      <c r="P24" s="25"/>
      <c r="Q24" s="108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</row>
    <row r="25">
      <c r="A25" s="37"/>
      <c r="B25" s="144"/>
      <c r="C25" s="96"/>
      <c r="D25" s="25"/>
      <c r="E25" s="102"/>
      <c r="G25" s="43"/>
      <c r="H25" s="37"/>
      <c r="I25" s="98"/>
      <c r="J25" s="25"/>
      <c r="K25" s="106" t="s">
        <v>78</v>
      </c>
      <c r="L25" s="25"/>
      <c r="M25" s="96"/>
      <c r="N25" s="102"/>
      <c r="P25" s="25"/>
      <c r="Q25" s="101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</row>
    <row r="26">
      <c r="A26" s="37"/>
      <c r="B26" s="146"/>
      <c r="C26" s="104"/>
      <c r="D26" s="25"/>
      <c r="E26" s="105"/>
      <c r="G26" s="43"/>
      <c r="H26" s="37"/>
      <c r="I26" s="106"/>
      <c r="J26" s="25"/>
      <c r="K26" s="143"/>
      <c r="M26" s="104"/>
      <c r="N26" s="105"/>
      <c r="P26" s="25"/>
      <c r="Q26" s="108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</row>
    <row r="27">
      <c r="A27" s="37"/>
      <c r="B27" s="144"/>
      <c r="C27" s="96"/>
      <c r="D27" s="25"/>
      <c r="E27" s="102"/>
      <c r="G27" s="43"/>
      <c r="H27" s="37"/>
      <c r="I27" s="98"/>
      <c r="J27" s="25"/>
      <c r="K27" s="145"/>
      <c r="M27" s="96"/>
      <c r="N27" s="102"/>
      <c r="P27" s="25"/>
      <c r="Q27" s="101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</row>
    <row r="28">
      <c r="A28" s="37"/>
      <c r="B28" s="146"/>
      <c r="C28" s="104"/>
      <c r="D28" s="25"/>
      <c r="E28" s="105"/>
      <c r="G28" s="43"/>
      <c r="H28" s="37"/>
      <c r="I28" s="106"/>
      <c r="J28" s="25"/>
      <c r="K28" s="143"/>
      <c r="M28" s="104"/>
      <c r="N28" s="105"/>
      <c r="P28" s="25"/>
      <c r="Q28" s="108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</row>
    <row r="29">
      <c r="A29" s="37"/>
      <c r="B29" s="147"/>
      <c r="C29" s="148"/>
      <c r="D29" s="67"/>
      <c r="E29" s="149"/>
      <c r="F29" s="45"/>
      <c r="G29" s="46"/>
      <c r="H29" s="37"/>
      <c r="I29" s="150"/>
      <c r="J29" s="67"/>
      <c r="K29" s="151"/>
      <c r="L29" s="45"/>
      <c r="M29" s="148"/>
      <c r="N29" s="149"/>
      <c r="O29" s="45"/>
      <c r="P29" s="67"/>
      <c r="Q29" s="152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</row>
    <row r="30">
      <c r="A30" s="37"/>
      <c r="B30" s="37"/>
      <c r="C30" s="37"/>
      <c r="E30" s="37"/>
      <c r="F30" s="37"/>
      <c r="G30" s="37"/>
      <c r="H30" s="37"/>
      <c r="I30" s="37"/>
      <c r="K30" s="37"/>
      <c r="M30" s="37"/>
      <c r="N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</row>
    <row r="32">
      <c r="A32" s="37"/>
      <c r="B32" s="85" t="s">
        <v>129</v>
      </c>
      <c r="C32" s="86" t="s">
        <v>62</v>
      </c>
      <c r="D32" s="87"/>
      <c r="E32" s="88" t="s">
        <v>63</v>
      </c>
      <c r="F32" s="40"/>
      <c r="G32" s="41"/>
      <c r="H32" s="37"/>
      <c r="I32" s="85" t="s">
        <v>64</v>
      </c>
      <c r="J32" s="87"/>
      <c r="K32" s="86" t="s">
        <v>65</v>
      </c>
      <c r="L32" s="87"/>
      <c r="M32" s="86" t="s">
        <v>66</v>
      </c>
      <c r="N32" s="86" t="s">
        <v>67</v>
      </c>
      <c r="O32" s="40"/>
      <c r="P32" s="87"/>
      <c r="Q32" s="89" t="s">
        <v>68</v>
      </c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</row>
    <row r="33">
      <c r="A33" s="153"/>
      <c r="B33" s="42"/>
      <c r="C33" s="90"/>
      <c r="D33" s="25"/>
      <c r="E33" s="90"/>
      <c r="G33" s="43"/>
      <c r="H33" s="37"/>
      <c r="I33" s="42"/>
      <c r="J33" s="25"/>
      <c r="K33" s="90"/>
      <c r="L33" s="25"/>
      <c r="M33" s="90"/>
      <c r="N33" s="90"/>
      <c r="P33" s="25"/>
      <c r="Q33" s="91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</row>
    <row r="34">
      <c r="A34" s="153"/>
      <c r="B34" s="92"/>
      <c r="C34" s="27"/>
      <c r="D34" s="28"/>
      <c r="E34" s="27"/>
      <c r="F34" s="22"/>
      <c r="G34" s="93"/>
      <c r="H34" s="37"/>
      <c r="I34" s="92"/>
      <c r="J34" s="28"/>
      <c r="K34" s="27"/>
      <c r="L34" s="28"/>
      <c r="M34" s="27"/>
      <c r="N34" s="27"/>
      <c r="O34" s="22"/>
      <c r="P34" s="28"/>
      <c r="Q34" s="94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</row>
    <row r="35">
      <c r="A35" s="153"/>
      <c r="B35" s="141" t="s">
        <v>119</v>
      </c>
      <c r="C35" s="115" t="s">
        <v>96</v>
      </c>
      <c r="D35" s="25"/>
      <c r="E35" s="119"/>
      <c r="G35" s="43"/>
      <c r="H35" s="37"/>
      <c r="I35" s="117" t="s">
        <v>78</v>
      </c>
      <c r="J35" s="25"/>
      <c r="K35" s="118">
        <v>45634.0</v>
      </c>
      <c r="M35" s="96">
        <v>0.0</v>
      </c>
      <c r="N35" s="97" t="s">
        <v>97</v>
      </c>
      <c r="P35" s="25"/>
      <c r="Q35" s="120">
        <v>3101.0</v>
      </c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</row>
    <row r="36">
      <c r="A36" s="37"/>
      <c r="B36" s="103" t="s">
        <v>130</v>
      </c>
      <c r="C36" s="104" t="s">
        <v>87</v>
      </c>
      <c r="D36" s="25"/>
      <c r="E36" s="123"/>
      <c r="G36" s="43"/>
      <c r="H36" s="112"/>
      <c r="I36" s="137">
        <v>2.0</v>
      </c>
      <c r="J36" s="25"/>
      <c r="K36" s="182">
        <v>45999.0</v>
      </c>
      <c r="M36" s="104">
        <v>0.0</v>
      </c>
      <c r="N36" s="123"/>
      <c r="P36" s="25"/>
      <c r="Q36" s="156"/>
      <c r="R36" s="112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</row>
    <row r="37">
      <c r="A37" s="37"/>
      <c r="B37" s="141" t="s">
        <v>131</v>
      </c>
      <c r="C37" s="115" t="s">
        <v>81</v>
      </c>
      <c r="D37" s="25"/>
      <c r="E37" s="111"/>
      <c r="G37" s="43"/>
      <c r="H37" s="112"/>
      <c r="I37" s="113">
        <v>2.0</v>
      </c>
      <c r="J37" s="25"/>
      <c r="K37" s="196">
        <v>45999.0</v>
      </c>
      <c r="M37" s="96">
        <v>0.0</v>
      </c>
      <c r="N37" s="100"/>
      <c r="P37" s="25"/>
      <c r="Q37" s="116">
        <v>3101.0</v>
      </c>
      <c r="R37" s="112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</row>
    <row r="38">
      <c r="A38" s="37"/>
      <c r="B38" s="103" t="s">
        <v>132</v>
      </c>
      <c r="C38" s="104" t="s">
        <v>87</v>
      </c>
      <c r="D38" s="25"/>
      <c r="E38" s="123" t="s">
        <v>133</v>
      </c>
      <c r="G38" s="43"/>
      <c r="H38" s="37"/>
      <c r="I38" s="137" t="s">
        <v>78</v>
      </c>
      <c r="J38" s="25"/>
      <c r="K38" s="128" t="s">
        <v>134</v>
      </c>
      <c r="M38" s="104">
        <v>0.0</v>
      </c>
      <c r="N38" s="123" t="s">
        <v>73</v>
      </c>
      <c r="P38" s="25"/>
      <c r="Q38" s="108">
        <v>3101.0</v>
      </c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</row>
    <row r="39">
      <c r="A39" s="37"/>
      <c r="B39" s="129" t="s">
        <v>106</v>
      </c>
      <c r="C39" s="173" t="s">
        <v>84</v>
      </c>
      <c r="D39" s="25"/>
      <c r="E39" s="131"/>
      <c r="G39" s="43"/>
      <c r="H39" s="112"/>
      <c r="I39" s="132">
        <v>2.0</v>
      </c>
      <c r="J39" s="25"/>
      <c r="K39" s="174">
        <v>45999.0</v>
      </c>
      <c r="M39" s="96">
        <v>0.0</v>
      </c>
      <c r="N39" s="131"/>
      <c r="P39" s="25"/>
      <c r="Q39" s="116">
        <v>3101.0</v>
      </c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</row>
    <row r="40">
      <c r="A40" s="37"/>
      <c r="B40" s="103" t="s">
        <v>135</v>
      </c>
      <c r="C40" s="104" t="s">
        <v>81</v>
      </c>
      <c r="D40" s="25"/>
      <c r="E40" s="123"/>
      <c r="G40" s="43"/>
      <c r="H40" s="37"/>
      <c r="I40" s="106">
        <v>2.0</v>
      </c>
      <c r="J40" s="25"/>
      <c r="K40" s="107">
        <v>45999.0</v>
      </c>
      <c r="M40" s="104">
        <v>0.0</v>
      </c>
      <c r="N40" s="105"/>
      <c r="P40" s="25"/>
      <c r="Q40" s="108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</row>
    <row r="41">
      <c r="A41" s="37"/>
      <c r="B41" s="141" t="s">
        <v>136</v>
      </c>
      <c r="C41" s="115" t="s">
        <v>84</v>
      </c>
      <c r="D41" s="25"/>
      <c r="E41" s="119"/>
      <c r="G41" s="43"/>
      <c r="H41" s="37"/>
      <c r="I41" s="117">
        <v>2.0</v>
      </c>
      <c r="J41" s="25"/>
      <c r="K41" s="118">
        <v>45999.0</v>
      </c>
      <c r="M41" s="115">
        <v>0.0</v>
      </c>
      <c r="N41" s="119"/>
      <c r="P41" s="25"/>
      <c r="Q41" s="120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</row>
    <row r="42">
      <c r="A42" s="37"/>
      <c r="B42" s="146"/>
      <c r="C42" s="104"/>
      <c r="D42" s="25"/>
      <c r="E42" s="105"/>
      <c r="G42" s="43"/>
      <c r="H42" s="37"/>
      <c r="I42" s="106"/>
      <c r="J42" s="25"/>
      <c r="K42" s="143"/>
      <c r="M42" s="104"/>
      <c r="N42" s="105"/>
      <c r="P42" s="25"/>
      <c r="Q42" s="108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</row>
    <row r="43">
      <c r="A43" s="37"/>
      <c r="B43" s="144"/>
      <c r="C43" s="96"/>
      <c r="D43" s="25"/>
      <c r="E43" s="102"/>
      <c r="G43" s="43"/>
      <c r="H43" s="37"/>
      <c r="I43" s="98"/>
      <c r="J43" s="25"/>
      <c r="K43" s="145"/>
      <c r="M43" s="96"/>
      <c r="N43" s="102"/>
      <c r="P43" s="25"/>
      <c r="Q43" s="101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</row>
    <row r="44">
      <c r="A44" s="37"/>
      <c r="B44" s="146"/>
      <c r="C44" s="104"/>
      <c r="D44" s="25"/>
      <c r="E44" s="105"/>
      <c r="G44" s="43"/>
      <c r="H44" s="37"/>
      <c r="I44" s="106"/>
      <c r="J44" s="25"/>
      <c r="K44" s="143"/>
      <c r="M44" s="104"/>
      <c r="N44" s="105"/>
      <c r="P44" s="25"/>
      <c r="Q44" s="108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</row>
    <row r="45">
      <c r="A45" s="37"/>
      <c r="B45" s="144"/>
      <c r="C45" s="96"/>
      <c r="D45" s="25"/>
      <c r="E45" s="102"/>
      <c r="G45" s="43"/>
      <c r="H45" s="37"/>
      <c r="I45" s="98"/>
      <c r="J45" s="25"/>
      <c r="K45" s="145"/>
      <c r="M45" s="96"/>
      <c r="N45" s="102"/>
      <c r="P45" s="25"/>
      <c r="Q45" s="101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</row>
    <row r="46">
      <c r="A46" s="37"/>
      <c r="B46" s="146"/>
      <c r="C46" s="104"/>
      <c r="D46" s="25"/>
      <c r="E46" s="105"/>
      <c r="G46" s="43"/>
      <c r="H46" s="37"/>
      <c r="I46" s="106"/>
      <c r="J46" s="25"/>
      <c r="K46" s="143"/>
      <c r="M46" s="104"/>
      <c r="N46" s="105"/>
      <c r="P46" s="25"/>
      <c r="Q46" s="108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</row>
    <row r="47">
      <c r="A47" s="37"/>
      <c r="B47" s="147"/>
      <c r="C47" s="148"/>
      <c r="D47" s="67"/>
      <c r="E47" s="149"/>
      <c r="F47" s="45"/>
      <c r="G47" s="46"/>
      <c r="H47" s="37"/>
      <c r="I47" s="150"/>
      <c r="J47" s="67"/>
      <c r="K47" s="151"/>
      <c r="L47" s="45"/>
      <c r="M47" s="148"/>
      <c r="N47" s="149"/>
      <c r="O47" s="45"/>
      <c r="P47" s="67"/>
      <c r="Q47" s="152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</row>
    <row r="50">
      <c r="A50" s="37"/>
      <c r="B50" s="85" t="s">
        <v>137</v>
      </c>
      <c r="C50" s="160" t="s">
        <v>62</v>
      </c>
      <c r="D50" s="87"/>
      <c r="E50" s="88" t="s">
        <v>63</v>
      </c>
      <c r="F50" s="40"/>
      <c r="G50" s="41"/>
      <c r="H50" s="31"/>
      <c r="I50" s="161" t="s">
        <v>64</v>
      </c>
      <c r="J50" s="87"/>
      <c r="K50" s="160" t="s">
        <v>65</v>
      </c>
      <c r="L50" s="87"/>
      <c r="M50" s="160" t="s">
        <v>66</v>
      </c>
      <c r="N50" s="160" t="s">
        <v>67</v>
      </c>
      <c r="O50" s="40"/>
      <c r="P50" s="87"/>
      <c r="Q50" s="162" t="s">
        <v>68</v>
      </c>
      <c r="R50" s="31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</row>
    <row r="51">
      <c r="A51" s="37"/>
      <c r="B51" s="42"/>
      <c r="C51" s="90"/>
      <c r="D51" s="25"/>
      <c r="E51" s="90"/>
      <c r="G51" s="43"/>
      <c r="H51" s="31"/>
      <c r="I51" s="42"/>
      <c r="J51" s="25"/>
      <c r="K51" s="90"/>
      <c r="L51" s="25"/>
      <c r="M51" s="90"/>
      <c r="N51" s="90"/>
      <c r="P51" s="25"/>
      <c r="Q51" s="91"/>
      <c r="R51" s="31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</row>
    <row r="52">
      <c r="A52" s="37"/>
      <c r="B52" s="92"/>
      <c r="C52" s="27"/>
      <c r="D52" s="28"/>
      <c r="E52" s="27"/>
      <c r="F52" s="22"/>
      <c r="G52" s="93"/>
      <c r="H52" s="31"/>
      <c r="I52" s="92"/>
      <c r="J52" s="28"/>
      <c r="K52" s="27"/>
      <c r="L52" s="28"/>
      <c r="M52" s="27"/>
      <c r="N52" s="27"/>
      <c r="O52" s="22"/>
      <c r="P52" s="28"/>
      <c r="Q52" s="94"/>
      <c r="R52" s="31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</row>
    <row r="53">
      <c r="A53" s="37"/>
      <c r="B53" s="95" t="s">
        <v>115</v>
      </c>
      <c r="C53" s="96" t="s">
        <v>116</v>
      </c>
      <c r="D53" s="25"/>
      <c r="E53" s="102"/>
      <c r="G53" s="43"/>
      <c r="H53" s="37"/>
      <c r="I53" s="98" t="s">
        <v>113</v>
      </c>
      <c r="J53" s="25"/>
      <c r="K53" s="99">
        <v>45634.0</v>
      </c>
      <c r="M53" s="96">
        <v>0.0</v>
      </c>
      <c r="N53" s="100" t="s">
        <v>97</v>
      </c>
      <c r="P53" s="25"/>
      <c r="Q53" s="101">
        <v>3202.0</v>
      </c>
      <c r="R53" s="112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</row>
    <row r="54">
      <c r="A54" s="37"/>
      <c r="B54" s="103" t="s">
        <v>117</v>
      </c>
      <c r="C54" s="104" t="s">
        <v>118</v>
      </c>
      <c r="D54" s="25"/>
      <c r="E54" s="123"/>
      <c r="G54" s="43"/>
      <c r="H54" s="37"/>
      <c r="I54" s="106">
        <v>2.0</v>
      </c>
      <c r="J54" s="25"/>
      <c r="K54" s="107">
        <v>45634.0</v>
      </c>
      <c r="M54" s="104">
        <v>0.0</v>
      </c>
      <c r="N54" s="105"/>
      <c r="P54" s="25"/>
      <c r="Q54" s="108">
        <v>3001.0</v>
      </c>
      <c r="R54" s="112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</row>
    <row r="55">
      <c r="A55" s="37"/>
      <c r="B55" s="109" t="s">
        <v>95</v>
      </c>
      <c r="C55" s="110" t="s">
        <v>96</v>
      </c>
      <c r="D55" s="25"/>
      <c r="E55" s="111"/>
      <c r="G55" s="43"/>
      <c r="H55" s="112"/>
      <c r="I55" s="113" t="s">
        <v>78</v>
      </c>
      <c r="J55" s="25"/>
      <c r="K55" s="114" t="s">
        <v>79</v>
      </c>
      <c r="M55" s="96">
        <v>0.0</v>
      </c>
      <c r="N55" s="100" t="s">
        <v>73</v>
      </c>
      <c r="P55" s="25"/>
      <c r="Q55" s="116">
        <v>3101.0</v>
      </c>
      <c r="R55" s="112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</row>
    <row r="56">
      <c r="A56" s="37"/>
      <c r="B56" s="103" t="s">
        <v>120</v>
      </c>
      <c r="C56" s="104" t="s">
        <v>94</v>
      </c>
      <c r="D56" s="25"/>
      <c r="E56" s="105"/>
      <c r="G56" s="43"/>
      <c r="H56" s="37"/>
      <c r="I56" s="106" t="s">
        <v>78</v>
      </c>
      <c r="J56" s="25"/>
      <c r="K56" s="128" t="s">
        <v>79</v>
      </c>
      <c r="M56" s="104">
        <v>0.0</v>
      </c>
      <c r="N56" s="123" t="s">
        <v>97</v>
      </c>
      <c r="P56" s="25"/>
      <c r="Q56" s="108">
        <v>3101.0</v>
      </c>
      <c r="R56" s="112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</row>
    <row r="57">
      <c r="A57" s="37"/>
      <c r="B57" s="95" t="s">
        <v>98</v>
      </c>
      <c r="C57" s="96" t="s">
        <v>99</v>
      </c>
      <c r="D57" s="25"/>
      <c r="E57" s="102"/>
      <c r="G57" s="43"/>
      <c r="H57" s="37"/>
      <c r="I57" s="98">
        <v>2.0</v>
      </c>
      <c r="J57" s="25"/>
      <c r="K57" s="99">
        <v>45510.0</v>
      </c>
      <c r="M57" s="96">
        <v>1.0</v>
      </c>
      <c r="N57" s="102"/>
      <c r="P57" s="25"/>
      <c r="Q57" s="101"/>
      <c r="R57" s="112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</row>
    <row r="58">
      <c r="A58" s="37"/>
      <c r="B58" s="103" t="s">
        <v>122</v>
      </c>
      <c r="C58" s="104" t="s">
        <v>94</v>
      </c>
      <c r="D58" s="25"/>
      <c r="E58" s="105"/>
      <c r="G58" s="43"/>
      <c r="H58" s="37"/>
      <c r="I58" s="106">
        <v>2.0</v>
      </c>
      <c r="J58" s="25"/>
      <c r="K58" s="107">
        <v>45510.0</v>
      </c>
      <c r="M58" s="104">
        <v>0.0</v>
      </c>
      <c r="N58" s="105"/>
      <c r="P58" s="25"/>
      <c r="Q58" s="108"/>
      <c r="R58" s="112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</row>
    <row r="59">
      <c r="A59" s="37"/>
      <c r="B59" s="141" t="s">
        <v>101</v>
      </c>
      <c r="C59" s="115" t="s">
        <v>102</v>
      </c>
      <c r="D59" s="25"/>
      <c r="E59" s="97"/>
      <c r="G59" s="43"/>
      <c r="H59" s="37"/>
      <c r="I59" s="117">
        <v>2.0</v>
      </c>
      <c r="J59" s="25"/>
      <c r="K59" s="118">
        <v>45999.0</v>
      </c>
      <c r="M59" s="115">
        <v>0.0</v>
      </c>
      <c r="N59" s="119"/>
      <c r="P59" s="25"/>
      <c r="Q59" s="120">
        <v>3100.0</v>
      </c>
      <c r="R59" s="112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</row>
    <row r="60">
      <c r="A60" s="37"/>
      <c r="B60" s="201"/>
      <c r="C60" s="136"/>
      <c r="D60" s="25"/>
      <c r="E60" s="139"/>
      <c r="G60" s="43"/>
      <c r="H60" s="112"/>
      <c r="I60" s="137"/>
      <c r="J60" s="25"/>
      <c r="K60" s="138"/>
      <c r="M60" s="104"/>
      <c r="N60" s="123"/>
      <c r="P60" s="25"/>
      <c r="Q60" s="156"/>
      <c r="R60" s="112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</row>
    <row r="61">
      <c r="A61" s="37"/>
      <c r="B61" s="186"/>
      <c r="C61" s="169"/>
      <c r="D61" s="25"/>
      <c r="E61" s="165"/>
      <c r="G61" s="43"/>
      <c r="H61" s="112"/>
      <c r="I61" s="186"/>
      <c r="J61" s="25"/>
      <c r="K61" s="187"/>
      <c r="M61" s="169"/>
      <c r="N61" s="165"/>
      <c r="P61" s="25"/>
      <c r="Q61" s="188"/>
      <c r="R61" s="112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</row>
    <row r="62">
      <c r="A62" s="37"/>
      <c r="B62" s="184"/>
      <c r="C62" s="178"/>
      <c r="D62" s="25"/>
      <c r="E62" s="139"/>
      <c r="G62" s="43"/>
      <c r="H62" s="112"/>
      <c r="I62" s="184"/>
      <c r="J62" s="25"/>
      <c r="K62" s="185"/>
      <c r="M62" s="178"/>
      <c r="N62" s="139"/>
      <c r="P62" s="25"/>
      <c r="Q62" s="140"/>
      <c r="R62" s="112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</row>
    <row r="63">
      <c r="A63" s="37"/>
      <c r="B63" s="186"/>
      <c r="C63" s="169"/>
      <c r="D63" s="25"/>
      <c r="E63" s="165"/>
      <c r="G63" s="43"/>
      <c r="H63" s="112"/>
      <c r="I63" s="186"/>
      <c r="J63" s="25"/>
      <c r="K63" s="187"/>
      <c r="M63" s="169"/>
      <c r="N63" s="165"/>
      <c r="P63" s="25"/>
      <c r="Q63" s="188"/>
      <c r="R63" s="112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</row>
    <row r="64">
      <c r="A64" s="37"/>
      <c r="B64" s="184"/>
      <c r="C64" s="178"/>
      <c r="D64" s="25"/>
      <c r="E64" s="139"/>
      <c r="G64" s="43"/>
      <c r="H64" s="112"/>
      <c r="I64" s="184"/>
      <c r="J64" s="25"/>
      <c r="K64" s="185"/>
      <c r="M64" s="178"/>
      <c r="N64" s="139"/>
      <c r="P64" s="25"/>
      <c r="Q64" s="140"/>
      <c r="R64" s="112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</row>
    <row r="65">
      <c r="A65" s="37"/>
      <c r="B65" s="189"/>
      <c r="C65" s="190"/>
      <c r="D65" s="67"/>
      <c r="E65" s="191"/>
      <c r="F65" s="45"/>
      <c r="G65" s="46"/>
      <c r="H65" s="112"/>
      <c r="I65" s="189"/>
      <c r="J65" s="67"/>
      <c r="K65" s="192"/>
      <c r="L65" s="45"/>
      <c r="M65" s="190"/>
      <c r="N65" s="191"/>
      <c r="O65" s="45"/>
      <c r="P65" s="67"/>
      <c r="Q65" s="193"/>
      <c r="R65" s="112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</row>
    <row r="66">
      <c r="A66" s="37"/>
      <c r="B66" s="194"/>
      <c r="C66" s="194"/>
      <c r="D66" s="194"/>
      <c r="E66" s="194"/>
      <c r="F66" s="194"/>
      <c r="G66" s="37"/>
      <c r="H66" s="37"/>
      <c r="I66" s="194"/>
      <c r="J66" s="194"/>
      <c r="K66" s="194"/>
      <c r="L66" s="194"/>
      <c r="M66" s="194"/>
      <c r="N66" s="194"/>
      <c r="O66" s="194"/>
      <c r="P66" s="194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</row>
    <row r="67">
      <c r="A67" s="37"/>
      <c r="B67" s="194"/>
      <c r="C67" s="194"/>
      <c r="D67" s="194"/>
      <c r="E67" s="194"/>
      <c r="F67" s="194"/>
      <c r="G67" s="37"/>
      <c r="H67" s="37"/>
      <c r="I67" s="194"/>
      <c r="J67" s="194"/>
      <c r="K67" s="194"/>
      <c r="L67" s="194"/>
      <c r="M67" s="194"/>
      <c r="N67" s="194"/>
      <c r="O67" s="194"/>
      <c r="P67" s="194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</row>
    <row r="68">
      <c r="A68" s="37"/>
      <c r="B68" s="85" t="s">
        <v>138</v>
      </c>
      <c r="C68" s="86" t="s">
        <v>62</v>
      </c>
      <c r="D68" s="87"/>
      <c r="E68" s="88" t="s">
        <v>63</v>
      </c>
      <c r="F68" s="40"/>
      <c r="G68" s="41"/>
      <c r="H68" s="37"/>
      <c r="I68" s="85" t="s">
        <v>64</v>
      </c>
      <c r="J68" s="87"/>
      <c r="K68" s="86" t="s">
        <v>65</v>
      </c>
      <c r="L68" s="87"/>
      <c r="M68" s="86" t="s">
        <v>66</v>
      </c>
      <c r="N68" s="86" t="s">
        <v>67</v>
      </c>
      <c r="O68" s="40"/>
      <c r="P68" s="87"/>
      <c r="Q68" s="89" t="s">
        <v>68</v>
      </c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</row>
    <row r="69">
      <c r="A69" s="37"/>
      <c r="B69" s="42"/>
      <c r="C69" s="90"/>
      <c r="D69" s="25"/>
      <c r="E69" s="90"/>
      <c r="G69" s="43"/>
      <c r="H69" s="37"/>
      <c r="I69" s="42"/>
      <c r="J69" s="25"/>
      <c r="K69" s="90"/>
      <c r="L69" s="25"/>
      <c r="M69" s="90"/>
      <c r="N69" s="90"/>
      <c r="P69" s="25"/>
      <c r="Q69" s="91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</row>
    <row r="70">
      <c r="A70" s="37"/>
      <c r="B70" s="92"/>
      <c r="C70" s="27"/>
      <c r="D70" s="28"/>
      <c r="E70" s="27"/>
      <c r="F70" s="22"/>
      <c r="G70" s="93"/>
      <c r="H70" s="37"/>
      <c r="I70" s="92"/>
      <c r="J70" s="28"/>
      <c r="K70" s="27"/>
      <c r="L70" s="28"/>
      <c r="M70" s="27"/>
      <c r="N70" s="27"/>
      <c r="O70" s="22"/>
      <c r="P70" s="28"/>
      <c r="Q70" s="94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</row>
    <row r="71">
      <c r="A71" s="37"/>
      <c r="B71" s="95" t="s">
        <v>139</v>
      </c>
      <c r="C71" s="96" t="s">
        <v>70</v>
      </c>
      <c r="D71" s="25"/>
      <c r="E71" s="102"/>
      <c r="G71" s="43"/>
      <c r="H71" s="37"/>
      <c r="I71" s="98">
        <v>3.0</v>
      </c>
      <c r="J71" s="25"/>
      <c r="K71" s="99">
        <v>45999.0</v>
      </c>
      <c r="M71" s="96">
        <v>0.0</v>
      </c>
      <c r="N71" s="100"/>
      <c r="P71" s="25"/>
      <c r="Q71" s="101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</row>
    <row r="72">
      <c r="A72" s="37"/>
      <c r="B72" s="135" t="s">
        <v>140</v>
      </c>
      <c r="C72" s="136" t="s">
        <v>87</v>
      </c>
      <c r="D72" s="25"/>
      <c r="E72" s="139"/>
      <c r="G72" s="43"/>
      <c r="H72" s="112"/>
      <c r="I72" s="137">
        <v>3.0</v>
      </c>
      <c r="J72" s="25"/>
      <c r="K72" s="182">
        <v>45999.0</v>
      </c>
      <c r="M72" s="104">
        <v>0.0</v>
      </c>
      <c r="N72" s="123"/>
      <c r="P72" s="25"/>
      <c r="Q72" s="156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</row>
    <row r="73">
      <c r="A73" s="37"/>
      <c r="B73" s="109" t="s">
        <v>109</v>
      </c>
      <c r="C73" s="179" t="s">
        <v>75</v>
      </c>
      <c r="D73" s="25"/>
      <c r="E73" s="97" t="s">
        <v>82</v>
      </c>
      <c r="G73" s="43"/>
      <c r="H73" s="112"/>
      <c r="I73" s="113">
        <v>3.0</v>
      </c>
      <c r="J73" s="25"/>
      <c r="K73" s="196">
        <v>45999.0</v>
      </c>
      <c r="M73" s="96">
        <v>0.0</v>
      </c>
      <c r="N73" s="100"/>
      <c r="P73" s="25"/>
      <c r="Q73" s="181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</row>
    <row r="74">
      <c r="A74" s="37"/>
      <c r="B74" s="121" t="s">
        <v>80</v>
      </c>
      <c r="C74" s="122" t="s">
        <v>81</v>
      </c>
      <c r="D74" s="25"/>
      <c r="E74" s="123" t="s">
        <v>82</v>
      </c>
      <c r="G74" s="43"/>
      <c r="H74" s="112"/>
      <c r="I74" s="124" t="s">
        <v>78</v>
      </c>
      <c r="J74" s="25"/>
      <c r="K74" s="125">
        <v>45999.0</v>
      </c>
      <c r="M74" s="104">
        <v>0.0</v>
      </c>
      <c r="N74" s="123" t="s">
        <v>73</v>
      </c>
      <c r="P74" s="25"/>
      <c r="Q74" s="127">
        <v>3101.0</v>
      </c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</row>
    <row r="75">
      <c r="A75" s="37"/>
      <c r="B75" s="141" t="s">
        <v>141</v>
      </c>
      <c r="C75" s="115" t="s">
        <v>77</v>
      </c>
      <c r="D75" s="25"/>
      <c r="E75" s="119"/>
      <c r="G75" s="43"/>
      <c r="H75" s="37"/>
      <c r="I75" s="117" t="s">
        <v>78</v>
      </c>
      <c r="J75" s="25"/>
      <c r="K75" s="199" t="s">
        <v>134</v>
      </c>
      <c r="M75" s="96">
        <v>0.0</v>
      </c>
      <c r="N75" s="100" t="s">
        <v>73</v>
      </c>
      <c r="P75" s="25"/>
      <c r="Q75" s="120">
        <v>3101.0</v>
      </c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</row>
    <row r="76">
      <c r="A76" s="37"/>
      <c r="B76" s="121" t="s">
        <v>83</v>
      </c>
      <c r="C76" s="122" t="s">
        <v>84</v>
      </c>
      <c r="D76" s="25"/>
      <c r="E76" s="126"/>
      <c r="G76" s="43"/>
      <c r="H76" s="112"/>
      <c r="I76" s="124">
        <v>3.0</v>
      </c>
      <c r="J76" s="25"/>
      <c r="K76" s="125">
        <v>45999.0</v>
      </c>
      <c r="M76" s="104">
        <v>0.0</v>
      </c>
      <c r="N76" s="126"/>
      <c r="P76" s="25"/>
      <c r="Q76" s="202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</row>
    <row r="77">
      <c r="A77" s="37"/>
      <c r="B77" s="95" t="s">
        <v>142</v>
      </c>
      <c r="C77" s="96" t="s">
        <v>89</v>
      </c>
      <c r="D77" s="25"/>
      <c r="E77" s="102"/>
      <c r="G77" s="43"/>
      <c r="H77" s="37"/>
      <c r="I77" s="98" t="s">
        <v>78</v>
      </c>
      <c r="J77" s="25"/>
      <c r="K77" s="99">
        <v>45999.0</v>
      </c>
      <c r="M77" s="96">
        <v>0.0</v>
      </c>
      <c r="N77" s="100" t="s">
        <v>97</v>
      </c>
      <c r="P77" s="25"/>
      <c r="Q77" s="101">
        <v>3101.0</v>
      </c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</row>
    <row r="78">
      <c r="A78" s="37"/>
      <c r="B78" s="146"/>
      <c r="C78" s="104"/>
      <c r="D78" s="25"/>
      <c r="E78" s="105"/>
      <c r="G78" s="43"/>
      <c r="H78" s="37"/>
      <c r="I78" s="106"/>
      <c r="J78" s="25"/>
      <c r="K78" s="143"/>
      <c r="M78" s="104"/>
      <c r="N78" s="105"/>
      <c r="P78" s="25"/>
      <c r="Q78" s="108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</row>
    <row r="79">
      <c r="A79" s="37"/>
      <c r="B79" s="144"/>
      <c r="C79" s="96"/>
      <c r="D79" s="25"/>
      <c r="E79" s="102"/>
      <c r="G79" s="43"/>
      <c r="H79" s="37"/>
      <c r="I79" s="98"/>
      <c r="J79" s="25"/>
      <c r="K79" s="145"/>
      <c r="M79" s="96"/>
      <c r="N79" s="102"/>
      <c r="P79" s="25"/>
      <c r="Q79" s="101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</row>
    <row r="80">
      <c r="A80" s="37"/>
      <c r="B80" s="146"/>
      <c r="C80" s="104"/>
      <c r="D80" s="25"/>
      <c r="E80" s="105"/>
      <c r="G80" s="43"/>
      <c r="H80" s="37"/>
      <c r="I80" s="106"/>
      <c r="J80" s="25"/>
      <c r="K80" s="143"/>
      <c r="M80" s="104"/>
      <c r="N80" s="105"/>
      <c r="P80" s="25"/>
      <c r="Q80" s="108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</row>
    <row r="81">
      <c r="A81" s="37"/>
      <c r="B81" s="144"/>
      <c r="C81" s="96"/>
      <c r="D81" s="25"/>
      <c r="E81" s="102"/>
      <c r="G81" s="43"/>
      <c r="H81" s="37"/>
      <c r="I81" s="98"/>
      <c r="J81" s="25"/>
      <c r="K81" s="145"/>
      <c r="M81" s="96"/>
      <c r="N81" s="102"/>
      <c r="P81" s="25"/>
      <c r="Q81" s="101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</row>
    <row r="82">
      <c r="A82" s="37"/>
      <c r="B82" s="146"/>
      <c r="C82" s="104"/>
      <c r="D82" s="25"/>
      <c r="E82" s="105"/>
      <c r="G82" s="43"/>
      <c r="H82" s="37"/>
      <c r="I82" s="106"/>
      <c r="J82" s="25"/>
      <c r="K82" s="143"/>
      <c r="M82" s="104"/>
      <c r="N82" s="105"/>
      <c r="P82" s="25"/>
      <c r="Q82" s="108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</row>
    <row r="83">
      <c r="A83" s="37"/>
      <c r="B83" s="147"/>
      <c r="C83" s="148"/>
      <c r="D83" s="67"/>
      <c r="E83" s="149"/>
      <c r="F83" s="45"/>
      <c r="G83" s="46"/>
      <c r="H83" s="37"/>
      <c r="I83" s="150"/>
      <c r="J83" s="67"/>
      <c r="K83" s="151"/>
      <c r="L83" s="45"/>
      <c r="M83" s="148"/>
      <c r="N83" s="149"/>
      <c r="O83" s="45"/>
      <c r="P83" s="67"/>
      <c r="Q83" s="152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</row>
    <row r="102">
      <c r="A102" s="37"/>
      <c r="B102" s="194"/>
      <c r="C102" s="194"/>
      <c r="D102" s="194"/>
      <c r="E102" s="194"/>
      <c r="F102" s="194"/>
      <c r="G102" s="37"/>
      <c r="H102" s="37"/>
      <c r="I102" s="194"/>
      <c r="J102" s="194"/>
      <c r="K102" s="194"/>
      <c r="L102" s="194"/>
      <c r="M102" s="194"/>
      <c r="N102" s="194"/>
      <c r="O102" s="194"/>
      <c r="P102" s="194"/>
      <c r="Q102" s="37"/>
      <c r="R102" s="37"/>
      <c r="S102" s="194"/>
      <c r="T102" s="194"/>
      <c r="U102" s="194"/>
      <c r="V102" s="194"/>
      <c r="W102" s="194"/>
      <c r="X102" s="194"/>
      <c r="Y102" s="194"/>
      <c r="Z102" s="194"/>
      <c r="AA102" s="37"/>
      <c r="AB102" s="37"/>
      <c r="AC102" s="194"/>
      <c r="AD102" s="194"/>
      <c r="AE102" s="194"/>
      <c r="AF102" s="194"/>
      <c r="AG102" s="194"/>
      <c r="AH102" s="194"/>
      <c r="AI102" s="194"/>
      <c r="AJ102" s="194"/>
      <c r="AK102" s="37"/>
      <c r="AL102" s="37"/>
      <c r="AM102" s="194"/>
      <c r="AN102" s="194"/>
      <c r="AO102" s="194"/>
      <c r="AP102" s="194"/>
      <c r="AQ102" s="194"/>
      <c r="AR102" s="194"/>
      <c r="AS102" s="194"/>
      <c r="AT102" s="194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</row>
    <row r="103">
      <c r="A103" s="37"/>
      <c r="B103" s="194"/>
      <c r="C103" s="194"/>
      <c r="D103" s="194"/>
      <c r="E103" s="194"/>
      <c r="F103" s="194"/>
      <c r="G103" s="37"/>
      <c r="H103" s="37"/>
      <c r="I103" s="194"/>
      <c r="J103" s="194"/>
      <c r="K103" s="194"/>
      <c r="L103" s="194"/>
      <c r="M103" s="194"/>
      <c r="N103" s="194"/>
      <c r="O103" s="194"/>
      <c r="P103" s="194"/>
      <c r="Q103" s="37"/>
      <c r="R103" s="37"/>
      <c r="S103" s="194"/>
      <c r="T103" s="194"/>
      <c r="U103" s="194"/>
      <c r="V103" s="194"/>
      <c r="W103" s="194"/>
      <c r="X103" s="194"/>
      <c r="Y103" s="194"/>
      <c r="Z103" s="194"/>
      <c r="AA103" s="37"/>
      <c r="AB103" s="37"/>
      <c r="AC103" s="194"/>
      <c r="AD103" s="194"/>
      <c r="AE103" s="194"/>
      <c r="AF103" s="194"/>
      <c r="AG103" s="194"/>
      <c r="AH103" s="194"/>
      <c r="AI103" s="194"/>
      <c r="AJ103" s="194"/>
      <c r="AK103" s="37"/>
      <c r="AL103" s="37"/>
      <c r="AM103" s="194"/>
      <c r="AN103" s="194"/>
      <c r="AO103" s="194"/>
      <c r="AP103" s="194"/>
      <c r="AQ103" s="194"/>
      <c r="AR103" s="194"/>
      <c r="AS103" s="194"/>
      <c r="AT103" s="194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</row>
    <row r="120">
      <c r="A120" s="37"/>
      <c r="B120" s="194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</row>
    <row r="121">
      <c r="A121" s="37"/>
      <c r="B121" s="194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</row>
    <row r="122">
      <c r="A122" s="37"/>
      <c r="B122" s="194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</row>
    <row r="123">
      <c r="A123" s="37"/>
      <c r="B123" s="194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</row>
    <row r="124">
      <c r="A124" s="37"/>
      <c r="B124" s="194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</row>
    <row r="125">
      <c r="A125" s="37"/>
      <c r="B125" s="194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</row>
    <row r="126">
      <c r="A126" s="37"/>
      <c r="B126" s="194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</row>
    <row r="127">
      <c r="A127" s="37"/>
      <c r="B127" s="194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</row>
    <row r="128">
      <c r="A128" s="37"/>
      <c r="B128" s="194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</row>
    <row r="129">
      <c r="A129" s="37"/>
      <c r="B129" s="194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</row>
    <row r="130">
      <c r="A130" s="37"/>
      <c r="B130" s="194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</row>
    <row r="131">
      <c r="A131" s="37"/>
      <c r="B131" s="194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</row>
    <row r="132">
      <c r="A132" s="37"/>
      <c r="B132" s="194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</row>
    <row r="133">
      <c r="A133" s="37"/>
      <c r="B133" s="194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</row>
    <row r="134">
      <c r="A134" s="37"/>
      <c r="B134" s="194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</row>
    <row r="135">
      <c r="A135" s="37"/>
      <c r="B135" s="194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</row>
    <row r="136">
      <c r="A136" s="37"/>
      <c r="B136" s="194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</row>
    <row r="137">
      <c r="A137" s="37"/>
      <c r="B137" s="194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</row>
    <row r="138">
      <c r="A138" s="37"/>
      <c r="B138" s="37"/>
      <c r="C138" s="37"/>
      <c r="D138" s="37"/>
      <c r="E138" s="37"/>
      <c r="F138" s="37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</row>
    <row r="139">
      <c r="A139" s="37"/>
      <c r="B139" s="37"/>
      <c r="C139" s="37"/>
      <c r="D139" s="37"/>
      <c r="E139" s="37"/>
      <c r="F139" s="37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</row>
    <row r="140">
      <c r="A140" s="37"/>
      <c r="B140" s="37"/>
      <c r="C140" s="37"/>
      <c r="D140" s="37"/>
      <c r="E140" s="37"/>
      <c r="F140" s="37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</row>
    <row r="141">
      <c r="A141" s="37"/>
      <c r="B141" s="37"/>
      <c r="C141" s="37"/>
      <c r="D141" s="37"/>
      <c r="E141" s="37"/>
      <c r="F141" s="37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</row>
    <row r="142">
      <c r="A142" s="37"/>
      <c r="B142" s="37"/>
      <c r="C142" s="37"/>
      <c r="D142" s="37"/>
      <c r="E142" s="37"/>
      <c r="F142" s="37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</row>
    <row r="143">
      <c r="A143" s="37"/>
      <c r="B143" s="37"/>
      <c r="C143" s="37"/>
      <c r="D143" s="37"/>
      <c r="E143" s="37"/>
      <c r="F143" s="37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</row>
  </sheetData>
  <mergeCells count="299">
    <mergeCell ref="I73:J73"/>
    <mergeCell ref="K73:L73"/>
    <mergeCell ref="I74:J74"/>
    <mergeCell ref="K74:L74"/>
    <mergeCell ref="N74:P74"/>
    <mergeCell ref="K75:L75"/>
    <mergeCell ref="N75:P75"/>
    <mergeCell ref="N76:P76"/>
    <mergeCell ref="C73:D73"/>
    <mergeCell ref="C74:D74"/>
    <mergeCell ref="E74:G74"/>
    <mergeCell ref="C75:D75"/>
    <mergeCell ref="E75:G75"/>
    <mergeCell ref="C76:D76"/>
    <mergeCell ref="E76:G76"/>
    <mergeCell ref="I79:J79"/>
    <mergeCell ref="K79:L79"/>
    <mergeCell ref="C78:D78"/>
    <mergeCell ref="E78:G78"/>
    <mergeCell ref="I78:J78"/>
    <mergeCell ref="K78:L78"/>
    <mergeCell ref="N78:P78"/>
    <mergeCell ref="E79:G79"/>
    <mergeCell ref="N79:P79"/>
    <mergeCell ref="I80:J80"/>
    <mergeCell ref="I81:J81"/>
    <mergeCell ref="I82:J82"/>
    <mergeCell ref="C82:D82"/>
    <mergeCell ref="E82:G82"/>
    <mergeCell ref="K82:L82"/>
    <mergeCell ref="C83:D83"/>
    <mergeCell ref="E83:G83"/>
    <mergeCell ref="I83:J83"/>
    <mergeCell ref="K83:L83"/>
    <mergeCell ref="C79:D79"/>
    <mergeCell ref="C80:D80"/>
    <mergeCell ref="E80:G80"/>
    <mergeCell ref="K80:L80"/>
    <mergeCell ref="C81:D81"/>
    <mergeCell ref="E81:G81"/>
    <mergeCell ref="K81:L81"/>
    <mergeCell ref="E68:G70"/>
    <mergeCell ref="I68:J70"/>
    <mergeCell ref="K68:L70"/>
    <mergeCell ref="M68:M70"/>
    <mergeCell ref="N68:P70"/>
    <mergeCell ref="Q68:Q70"/>
    <mergeCell ref="C71:D71"/>
    <mergeCell ref="E71:G71"/>
    <mergeCell ref="I71:J71"/>
    <mergeCell ref="K71:L71"/>
    <mergeCell ref="N71:P71"/>
    <mergeCell ref="C63:D63"/>
    <mergeCell ref="C64:D64"/>
    <mergeCell ref="E64:G64"/>
    <mergeCell ref="C65:D65"/>
    <mergeCell ref="E65:G65"/>
    <mergeCell ref="B68:B70"/>
    <mergeCell ref="C68:D70"/>
    <mergeCell ref="C72:D72"/>
    <mergeCell ref="E72:G72"/>
    <mergeCell ref="I72:J72"/>
    <mergeCell ref="K72:L72"/>
    <mergeCell ref="N72:P72"/>
    <mergeCell ref="E73:G73"/>
    <mergeCell ref="N73:P73"/>
    <mergeCell ref="I75:J75"/>
    <mergeCell ref="I76:J76"/>
    <mergeCell ref="K76:L76"/>
    <mergeCell ref="C77:D77"/>
    <mergeCell ref="E77:G77"/>
    <mergeCell ref="I77:J77"/>
    <mergeCell ref="K77:L77"/>
    <mergeCell ref="N77:P77"/>
    <mergeCell ref="N80:P80"/>
    <mergeCell ref="N81:P81"/>
    <mergeCell ref="N82:P82"/>
    <mergeCell ref="N83:P83"/>
    <mergeCell ref="N14:P16"/>
    <mergeCell ref="Q14:Q16"/>
    <mergeCell ref="N17:P17"/>
    <mergeCell ref="N18:P18"/>
    <mergeCell ref="N19:P19"/>
    <mergeCell ref="N20:P20"/>
    <mergeCell ref="N21:P21"/>
    <mergeCell ref="B1:G13"/>
    <mergeCell ref="I1:AV8"/>
    <mergeCell ref="J11:N11"/>
    <mergeCell ref="B14:B16"/>
    <mergeCell ref="C14:D16"/>
    <mergeCell ref="E14:G16"/>
    <mergeCell ref="I14:J16"/>
    <mergeCell ref="I17:J17"/>
    <mergeCell ref="I18:J18"/>
    <mergeCell ref="I19:J19"/>
    <mergeCell ref="K19:L19"/>
    <mergeCell ref="I20:J20"/>
    <mergeCell ref="K20:L20"/>
    <mergeCell ref="I21:J21"/>
    <mergeCell ref="K21:L21"/>
    <mergeCell ref="K14:L16"/>
    <mergeCell ref="M14:M16"/>
    <mergeCell ref="C17:D17"/>
    <mergeCell ref="E17:G17"/>
    <mergeCell ref="K17:L17"/>
    <mergeCell ref="E18:G18"/>
    <mergeCell ref="K18:L18"/>
    <mergeCell ref="C22:D22"/>
    <mergeCell ref="E22:G22"/>
    <mergeCell ref="I22:J22"/>
    <mergeCell ref="K22:L22"/>
    <mergeCell ref="N22:P22"/>
    <mergeCell ref="C18:D18"/>
    <mergeCell ref="C19:D19"/>
    <mergeCell ref="E19:G19"/>
    <mergeCell ref="C20:D20"/>
    <mergeCell ref="E20:G20"/>
    <mergeCell ref="C21:D21"/>
    <mergeCell ref="E21:G21"/>
    <mergeCell ref="C24:D24"/>
    <mergeCell ref="C25:D25"/>
    <mergeCell ref="E25:G25"/>
    <mergeCell ref="I25:J25"/>
    <mergeCell ref="K25:L25"/>
    <mergeCell ref="N25:P25"/>
    <mergeCell ref="C23:D23"/>
    <mergeCell ref="E23:G23"/>
    <mergeCell ref="I23:J23"/>
    <mergeCell ref="K23:L23"/>
    <mergeCell ref="N23:P23"/>
    <mergeCell ref="E24:G24"/>
    <mergeCell ref="N24:P24"/>
    <mergeCell ref="I24:J24"/>
    <mergeCell ref="K24:L24"/>
    <mergeCell ref="C26:D26"/>
    <mergeCell ref="E26:G26"/>
    <mergeCell ref="I26:J26"/>
    <mergeCell ref="K26:L26"/>
    <mergeCell ref="N26:P26"/>
    <mergeCell ref="I28:J28"/>
    <mergeCell ref="K28:L28"/>
    <mergeCell ref="I29:J29"/>
    <mergeCell ref="K29:L29"/>
    <mergeCell ref="N29:P29"/>
    <mergeCell ref="I30:J30"/>
    <mergeCell ref="K30:L30"/>
    <mergeCell ref="N30:P30"/>
    <mergeCell ref="C27:D27"/>
    <mergeCell ref="E27:G27"/>
    <mergeCell ref="I27:J27"/>
    <mergeCell ref="K27:L27"/>
    <mergeCell ref="N27:P27"/>
    <mergeCell ref="E28:G28"/>
    <mergeCell ref="N28:P28"/>
    <mergeCell ref="I32:J34"/>
    <mergeCell ref="K32:L34"/>
    <mergeCell ref="M32:M34"/>
    <mergeCell ref="N32:P34"/>
    <mergeCell ref="Q32:Q34"/>
    <mergeCell ref="C35:D35"/>
    <mergeCell ref="E35:G35"/>
    <mergeCell ref="I35:J35"/>
    <mergeCell ref="K35:L35"/>
    <mergeCell ref="N35:P35"/>
    <mergeCell ref="C28:D28"/>
    <mergeCell ref="C29:D29"/>
    <mergeCell ref="E29:G29"/>
    <mergeCell ref="C30:D30"/>
    <mergeCell ref="B32:B34"/>
    <mergeCell ref="C32:D34"/>
    <mergeCell ref="E32:G34"/>
    <mergeCell ref="I45:J45"/>
    <mergeCell ref="I46:J46"/>
    <mergeCell ref="K46:L46"/>
    <mergeCell ref="I43:J43"/>
    <mergeCell ref="K43:L43"/>
    <mergeCell ref="I44:J44"/>
    <mergeCell ref="K44:L44"/>
    <mergeCell ref="N44:P44"/>
    <mergeCell ref="K45:L45"/>
    <mergeCell ref="N45:P45"/>
    <mergeCell ref="N46:P46"/>
    <mergeCell ref="C37:D37"/>
    <mergeCell ref="C38:D38"/>
    <mergeCell ref="E38:G38"/>
    <mergeCell ref="C39:D39"/>
    <mergeCell ref="E39:G39"/>
    <mergeCell ref="C40:D40"/>
    <mergeCell ref="E40:G40"/>
    <mergeCell ref="C43:D43"/>
    <mergeCell ref="C44:D44"/>
    <mergeCell ref="E44:G44"/>
    <mergeCell ref="C45:D45"/>
    <mergeCell ref="E45:G45"/>
    <mergeCell ref="C46:D46"/>
    <mergeCell ref="E46:G46"/>
    <mergeCell ref="C50:D52"/>
    <mergeCell ref="C53:D53"/>
    <mergeCell ref="E53:G53"/>
    <mergeCell ref="I53:J53"/>
    <mergeCell ref="K53:L53"/>
    <mergeCell ref="C54:D54"/>
    <mergeCell ref="E54:G54"/>
    <mergeCell ref="N53:P53"/>
    <mergeCell ref="N54:P54"/>
    <mergeCell ref="B50:B52"/>
    <mergeCell ref="E50:G52"/>
    <mergeCell ref="I50:J52"/>
    <mergeCell ref="K50:L52"/>
    <mergeCell ref="M50:M52"/>
    <mergeCell ref="N50:P52"/>
    <mergeCell ref="Q50:Q52"/>
    <mergeCell ref="C36:D36"/>
    <mergeCell ref="E36:G36"/>
    <mergeCell ref="I36:J36"/>
    <mergeCell ref="K36:L36"/>
    <mergeCell ref="N36:P36"/>
    <mergeCell ref="E37:G37"/>
    <mergeCell ref="N37:P37"/>
    <mergeCell ref="I39:J39"/>
    <mergeCell ref="I40:J40"/>
    <mergeCell ref="K40:L40"/>
    <mergeCell ref="I37:J37"/>
    <mergeCell ref="K37:L37"/>
    <mergeCell ref="I38:J38"/>
    <mergeCell ref="K38:L38"/>
    <mergeCell ref="N38:P38"/>
    <mergeCell ref="K39:L39"/>
    <mergeCell ref="N39:P39"/>
    <mergeCell ref="N40:P40"/>
    <mergeCell ref="C41:D41"/>
    <mergeCell ref="E41:G41"/>
    <mergeCell ref="I41:J41"/>
    <mergeCell ref="K41:L41"/>
    <mergeCell ref="N41:P41"/>
    <mergeCell ref="C42:D42"/>
    <mergeCell ref="E42:G42"/>
    <mergeCell ref="I42:J42"/>
    <mergeCell ref="K42:L42"/>
    <mergeCell ref="N42:P42"/>
    <mergeCell ref="E43:G43"/>
    <mergeCell ref="N43:P43"/>
    <mergeCell ref="C47:D47"/>
    <mergeCell ref="E47:G47"/>
    <mergeCell ref="I47:J47"/>
    <mergeCell ref="K47:L47"/>
    <mergeCell ref="N47:P47"/>
    <mergeCell ref="I54:J54"/>
    <mergeCell ref="K54:L54"/>
    <mergeCell ref="C55:D55"/>
    <mergeCell ref="E55:G55"/>
    <mergeCell ref="I55:J55"/>
    <mergeCell ref="K55:L55"/>
    <mergeCell ref="N55:P55"/>
    <mergeCell ref="C56:D56"/>
    <mergeCell ref="E56:G56"/>
    <mergeCell ref="I56:J56"/>
    <mergeCell ref="K56:L56"/>
    <mergeCell ref="N56:P56"/>
    <mergeCell ref="E57:G57"/>
    <mergeCell ref="N57:P57"/>
    <mergeCell ref="I59:J59"/>
    <mergeCell ref="I60:J60"/>
    <mergeCell ref="K60:L60"/>
    <mergeCell ref="I57:J57"/>
    <mergeCell ref="K57:L57"/>
    <mergeCell ref="I58:J58"/>
    <mergeCell ref="K58:L58"/>
    <mergeCell ref="N58:P58"/>
    <mergeCell ref="K59:L59"/>
    <mergeCell ref="N59:P59"/>
    <mergeCell ref="N60:P60"/>
    <mergeCell ref="C61:D61"/>
    <mergeCell ref="E61:G61"/>
    <mergeCell ref="I61:J61"/>
    <mergeCell ref="K61:L61"/>
    <mergeCell ref="N61:P61"/>
    <mergeCell ref="C57:D57"/>
    <mergeCell ref="C58:D58"/>
    <mergeCell ref="E58:G58"/>
    <mergeCell ref="C59:D59"/>
    <mergeCell ref="E59:G59"/>
    <mergeCell ref="C60:D60"/>
    <mergeCell ref="E60:G60"/>
    <mergeCell ref="I63:J63"/>
    <mergeCell ref="K63:L63"/>
    <mergeCell ref="I64:J64"/>
    <mergeCell ref="K64:L64"/>
    <mergeCell ref="N64:P64"/>
    <mergeCell ref="I65:J65"/>
    <mergeCell ref="K65:L65"/>
    <mergeCell ref="N65:P65"/>
    <mergeCell ref="C62:D62"/>
    <mergeCell ref="E62:G62"/>
    <mergeCell ref="I62:J62"/>
    <mergeCell ref="K62:L62"/>
    <mergeCell ref="N62:P62"/>
    <mergeCell ref="E63:G63"/>
    <mergeCell ref="N63:P63"/>
  </mergeCells>
  <dataValidations>
    <dataValidation type="list" allowBlank="1" sqref="C17:C29 C35:C47 C53:C65 C71:C83">
      <formula1>"CADENA POSTERIOR,HAZ CLAVICULAR,HAZ ESTERNOCOSTAL,ESPALDA ALTA,DORSAL,DELT.ANTERIOR,DELT.LATERAL,DELT.POSTERIOR,TRÍCEPS,BÍCEPS,ADUCTOR,ISQUIOS,CUÁDRICEPS,GLÚTEO,GASTROGNEMIO,SÓLEO,ABDOMINALES"</formula1>
    </dataValidation>
  </dataValidations>
  <hyperlinks>
    <hyperlink r:id="rId1" ref="B17"/>
    <hyperlink r:id="rId2" ref="B18"/>
    <hyperlink r:id="rId3" ref="B19"/>
    <hyperlink r:id="rId4" ref="B20"/>
    <hyperlink r:id="rId5" ref="B21"/>
    <hyperlink r:id="rId6" ref="B22"/>
    <hyperlink r:id="rId7" ref="B23"/>
    <hyperlink r:id="rId8" ref="B35"/>
    <hyperlink r:id="rId9" ref="B36"/>
    <hyperlink r:id="rId10" ref="B37"/>
    <hyperlink r:id="rId11" ref="B38"/>
    <hyperlink r:id="rId12" ref="B39"/>
    <hyperlink r:id="rId13" ref="B40"/>
    <hyperlink r:id="rId14" ref="B41"/>
    <hyperlink r:id="rId15" ref="B53"/>
    <hyperlink r:id="rId16" ref="B54"/>
    <hyperlink r:id="rId17" ref="B55"/>
    <hyperlink r:id="rId18" ref="B56"/>
    <hyperlink r:id="rId19" ref="B57"/>
    <hyperlink r:id="rId20" ref="B58"/>
    <hyperlink r:id="rId21" ref="B59"/>
    <hyperlink r:id="rId22" ref="B71"/>
    <hyperlink r:id="rId23" ref="B72"/>
    <hyperlink r:id="rId24" ref="B73"/>
    <hyperlink r:id="rId25" ref="B74"/>
    <hyperlink r:id="rId26" ref="B75"/>
    <hyperlink r:id="rId27" ref="B76"/>
    <hyperlink r:id="rId28" ref="B77"/>
  </hyperlinks>
  <drawing r:id="rId2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63"/>
    <col customWidth="1" min="2" max="2" width="53.25"/>
    <col customWidth="1" min="3" max="3" width="12.63"/>
    <col customWidth="1" min="4" max="4" width="13.63"/>
    <col customWidth="1" min="5" max="129" width="12.63"/>
  </cols>
  <sheetData>
    <row r="1">
      <c r="A1" s="37"/>
      <c r="B1" s="74"/>
      <c r="H1" s="75"/>
      <c r="I1" s="203" t="s">
        <v>143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1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</row>
    <row r="2">
      <c r="A2" s="74"/>
      <c r="H2" s="75"/>
      <c r="I2" s="42"/>
      <c r="AC2" s="43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</row>
    <row r="3">
      <c r="A3" s="74"/>
      <c r="H3" s="75"/>
      <c r="I3" s="42"/>
      <c r="AC3" s="43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</row>
    <row r="4">
      <c r="A4" s="74"/>
      <c r="H4" s="75"/>
      <c r="I4" s="42"/>
      <c r="AC4" s="43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</row>
    <row r="5">
      <c r="A5" s="74"/>
      <c r="H5" s="75"/>
      <c r="I5" s="42"/>
      <c r="AC5" s="43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</row>
    <row r="6">
      <c r="A6" s="74"/>
      <c r="H6" s="75"/>
      <c r="I6" s="42"/>
      <c r="AC6" s="43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</row>
    <row r="7">
      <c r="A7" s="74"/>
      <c r="H7" s="75"/>
      <c r="I7" s="42"/>
      <c r="AC7" s="43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</row>
    <row r="8">
      <c r="A8" s="74"/>
      <c r="H8" s="75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6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</row>
    <row r="9">
      <c r="A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</row>
    <row r="10">
      <c r="A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</row>
    <row r="11">
      <c r="A11" s="37"/>
      <c r="H11" s="37"/>
      <c r="I11" s="37"/>
      <c r="J11" s="112"/>
      <c r="K11" s="204" t="s">
        <v>59</v>
      </c>
      <c r="L11" s="81"/>
      <c r="M11" s="81"/>
      <c r="N11" s="81"/>
      <c r="O11" s="82"/>
      <c r="P11" s="205" t="s">
        <v>60</v>
      </c>
      <c r="Q11" s="112"/>
      <c r="R11" s="112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</row>
    <row r="12">
      <c r="A12" s="37"/>
      <c r="H12" s="84"/>
      <c r="I12" s="37"/>
      <c r="J12" s="206"/>
      <c r="K12" s="206"/>
      <c r="L12" s="112"/>
      <c r="M12" s="112"/>
      <c r="N12" s="112"/>
      <c r="O12" s="112"/>
      <c r="P12" s="112"/>
      <c r="Q12" s="112"/>
      <c r="R12" s="112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</row>
    <row r="13">
      <c r="A13" s="37"/>
      <c r="H13" s="37"/>
      <c r="I13" s="37"/>
      <c r="J13" s="112"/>
      <c r="K13" s="112"/>
      <c r="L13" s="112"/>
      <c r="M13" s="112"/>
      <c r="N13" s="112"/>
      <c r="O13" s="112"/>
      <c r="P13" s="112"/>
      <c r="Q13" s="112"/>
      <c r="R13" s="112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</row>
    <row r="14">
      <c r="A14" s="37"/>
      <c r="B14" s="85" t="s">
        <v>144</v>
      </c>
      <c r="C14" s="86" t="s">
        <v>62</v>
      </c>
      <c r="D14" s="87"/>
      <c r="E14" s="88" t="s">
        <v>63</v>
      </c>
      <c r="F14" s="40"/>
      <c r="G14" s="41"/>
      <c r="H14" s="37"/>
      <c r="I14" s="37"/>
      <c r="J14" s="161" t="s">
        <v>64</v>
      </c>
      <c r="K14" s="87"/>
      <c r="L14" s="160" t="s">
        <v>65</v>
      </c>
      <c r="M14" s="87"/>
      <c r="N14" s="207" t="s">
        <v>66</v>
      </c>
      <c r="O14" s="160" t="s">
        <v>67</v>
      </c>
      <c r="P14" s="40"/>
      <c r="Q14" s="87"/>
      <c r="R14" s="162" t="s">
        <v>68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</row>
    <row r="15">
      <c r="A15" s="37"/>
      <c r="B15" s="42"/>
      <c r="C15" s="90"/>
      <c r="D15" s="25"/>
      <c r="E15" s="90"/>
      <c r="G15" s="43"/>
      <c r="H15" s="37"/>
      <c r="I15" s="37"/>
      <c r="J15" s="42"/>
      <c r="K15" s="25"/>
      <c r="L15" s="90"/>
      <c r="M15" s="25"/>
      <c r="N15" s="90"/>
      <c r="O15" s="90"/>
      <c r="Q15" s="25"/>
      <c r="R15" s="91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</row>
    <row r="16">
      <c r="A16" s="37"/>
      <c r="B16" s="92"/>
      <c r="C16" s="27"/>
      <c r="D16" s="28"/>
      <c r="E16" s="27"/>
      <c r="F16" s="22"/>
      <c r="G16" s="93"/>
      <c r="H16" s="37"/>
      <c r="I16" s="37"/>
      <c r="J16" s="92"/>
      <c r="K16" s="28"/>
      <c r="L16" s="27"/>
      <c r="M16" s="28"/>
      <c r="N16" s="27"/>
      <c r="O16" s="27"/>
      <c r="P16" s="22"/>
      <c r="Q16" s="28"/>
      <c r="R16" s="94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</row>
    <row r="17">
      <c r="A17" s="37"/>
      <c r="B17" s="95" t="s">
        <v>104</v>
      </c>
      <c r="C17" s="96" t="s">
        <v>70</v>
      </c>
      <c r="D17" s="25"/>
      <c r="E17" s="102"/>
      <c r="G17" s="43"/>
      <c r="H17" s="37"/>
      <c r="I17" s="37"/>
      <c r="J17" s="208">
        <v>2.0</v>
      </c>
      <c r="K17" s="25"/>
      <c r="L17" s="209">
        <v>45634.0</v>
      </c>
      <c r="N17" s="210"/>
      <c r="O17" s="100" t="s">
        <v>124</v>
      </c>
      <c r="Q17" s="25"/>
      <c r="R17" s="211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</row>
    <row r="18">
      <c r="A18" s="37"/>
      <c r="B18" s="103" t="s">
        <v>145</v>
      </c>
      <c r="C18" s="104" t="s">
        <v>77</v>
      </c>
      <c r="D18" s="25"/>
      <c r="E18" s="123"/>
      <c r="G18" s="43"/>
      <c r="H18" s="37"/>
      <c r="I18" s="37"/>
      <c r="J18" s="212">
        <v>2.0</v>
      </c>
      <c r="K18" s="25"/>
      <c r="L18" s="213">
        <v>45573.0</v>
      </c>
      <c r="N18" s="214"/>
      <c r="O18" s="215"/>
      <c r="Q18" s="25"/>
      <c r="R18" s="216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</row>
    <row r="19">
      <c r="A19" s="37"/>
      <c r="B19" s="95" t="s">
        <v>146</v>
      </c>
      <c r="C19" s="96" t="s">
        <v>75</v>
      </c>
      <c r="D19" s="25"/>
      <c r="E19" s="102"/>
      <c r="G19" s="43"/>
      <c r="H19" s="37"/>
      <c r="I19" s="37"/>
      <c r="J19" s="217">
        <v>2.0</v>
      </c>
      <c r="K19" s="25"/>
      <c r="L19" s="209">
        <v>45509.0</v>
      </c>
      <c r="N19" s="210"/>
      <c r="O19" s="218"/>
      <c r="Q19" s="25"/>
      <c r="R19" s="211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</row>
    <row r="20">
      <c r="A20" s="37"/>
      <c r="B20" s="103" t="s">
        <v>76</v>
      </c>
      <c r="C20" s="104" t="s">
        <v>77</v>
      </c>
      <c r="D20" s="25"/>
      <c r="E20" s="105"/>
      <c r="G20" s="43"/>
      <c r="H20" s="37"/>
      <c r="I20" s="37"/>
      <c r="J20" s="219" t="s">
        <v>78</v>
      </c>
      <c r="K20" s="25"/>
      <c r="L20" s="220" t="s">
        <v>108</v>
      </c>
      <c r="N20" s="214"/>
      <c r="O20" s="123" t="s">
        <v>97</v>
      </c>
      <c r="Q20" s="25"/>
      <c r="R20" s="221">
        <v>3101.0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</row>
    <row r="21">
      <c r="A21" s="37"/>
      <c r="B21" s="95" t="s">
        <v>147</v>
      </c>
      <c r="C21" s="96" t="s">
        <v>70</v>
      </c>
      <c r="D21" s="25"/>
      <c r="E21" s="100" t="s">
        <v>148</v>
      </c>
      <c r="G21" s="43"/>
      <c r="H21" s="37"/>
      <c r="I21" s="37"/>
      <c r="J21" s="208" t="s">
        <v>78</v>
      </c>
      <c r="K21" s="25"/>
      <c r="L21" s="222" t="s">
        <v>134</v>
      </c>
      <c r="N21" s="210"/>
      <c r="O21" s="100" t="s">
        <v>73</v>
      </c>
      <c r="Q21" s="25"/>
      <c r="R21" s="223">
        <v>3101.0</v>
      </c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</row>
    <row r="22">
      <c r="A22" s="37"/>
      <c r="B22" s="103" t="s">
        <v>149</v>
      </c>
      <c r="C22" s="104" t="s">
        <v>89</v>
      </c>
      <c r="D22" s="25"/>
      <c r="E22" s="123" t="s">
        <v>150</v>
      </c>
      <c r="G22" s="43"/>
      <c r="H22" s="37"/>
      <c r="I22" s="37"/>
      <c r="J22" s="219">
        <v>2.0</v>
      </c>
      <c r="K22" s="25"/>
      <c r="L22" s="213">
        <v>45634.0</v>
      </c>
      <c r="N22" s="214"/>
      <c r="O22" s="215"/>
      <c r="Q22" s="25"/>
      <c r="R22" s="221">
        <v>3101.0</v>
      </c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</row>
    <row r="23">
      <c r="A23" s="37"/>
      <c r="B23" s="95" t="s">
        <v>151</v>
      </c>
      <c r="C23" s="96" t="s">
        <v>89</v>
      </c>
      <c r="D23" s="25"/>
      <c r="E23" s="100" t="s">
        <v>152</v>
      </c>
      <c r="G23" s="43"/>
      <c r="H23" s="37"/>
      <c r="I23" s="37"/>
      <c r="J23" s="208" t="s">
        <v>78</v>
      </c>
      <c r="K23" s="25"/>
      <c r="L23" s="222" t="s">
        <v>134</v>
      </c>
      <c r="N23" s="210"/>
      <c r="O23" s="100" t="s">
        <v>73</v>
      </c>
      <c r="Q23" s="25"/>
      <c r="R23" s="223">
        <v>3200.0</v>
      </c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</row>
    <row r="24">
      <c r="A24" s="37"/>
      <c r="B24" s="146"/>
      <c r="C24" s="104"/>
      <c r="D24" s="25"/>
      <c r="E24" s="105"/>
      <c r="G24" s="43"/>
      <c r="H24" s="37"/>
      <c r="I24" s="37"/>
      <c r="J24" s="224"/>
      <c r="K24" s="25"/>
      <c r="L24" s="225"/>
      <c r="N24" s="226"/>
      <c r="O24" s="215"/>
      <c r="Q24" s="25"/>
      <c r="R24" s="216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</row>
    <row r="25">
      <c r="A25" s="37"/>
      <c r="B25" s="144"/>
      <c r="C25" s="96"/>
      <c r="D25" s="25"/>
      <c r="E25" s="102"/>
      <c r="G25" s="43"/>
      <c r="H25" s="37"/>
      <c r="I25" s="37"/>
      <c r="J25" s="227"/>
      <c r="K25" s="25"/>
      <c r="L25" s="228"/>
      <c r="N25" s="229"/>
      <c r="O25" s="218"/>
      <c r="Q25" s="25"/>
      <c r="R25" s="211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</row>
    <row r="26">
      <c r="A26" s="37"/>
      <c r="B26" s="200"/>
      <c r="C26" s="104"/>
      <c r="D26" s="25"/>
      <c r="E26" s="123"/>
      <c r="G26" s="43"/>
      <c r="H26" s="37"/>
      <c r="I26" s="37"/>
      <c r="J26" s="212"/>
      <c r="K26" s="25"/>
      <c r="L26" s="213"/>
      <c r="N26" s="214"/>
      <c r="O26" s="215"/>
      <c r="Q26" s="25"/>
      <c r="R26" s="221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</row>
    <row r="27">
      <c r="A27" s="37"/>
      <c r="B27" s="144"/>
      <c r="C27" s="96"/>
      <c r="D27" s="25"/>
      <c r="E27" s="102"/>
      <c r="G27" s="43"/>
      <c r="H27" s="37"/>
      <c r="I27" s="37"/>
      <c r="J27" s="227"/>
      <c r="K27" s="25"/>
      <c r="L27" s="228"/>
      <c r="N27" s="229"/>
      <c r="O27" s="218"/>
      <c r="Q27" s="25"/>
      <c r="R27" s="211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</row>
    <row r="28">
      <c r="A28" s="37"/>
      <c r="B28" s="146"/>
      <c r="C28" s="104"/>
      <c r="D28" s="25"/>
      <c r="E28" s="105"/>
      <c r="G28" s="43"/>
      <c r="H28" s="37"/>
      <c r="I28" s="37"/>
      <c r="J28" s="212"/>
      <c r="K28" s="25"/>
      <c r="L28" s="225"/>
      <c r="N28" s="226"/>
      <c r="O28" s="215"/>
      <c r="Q28" s="25"/>
      <c r="R28" s="216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</row>
    <row r="29">
      <c r="A29" s="37"/>
      <c r="B29" s="147"/>
      <c r="C29" s="148"/>
      <c r="D29" s="67"/>
      <c r="E29" s="149"/>
      <c r="F29" s="45"/>
      <c r="G29" s="46"/>
      <c r="H29" s="37"/>
      <c r="I29" s="37"/>
      <c r="J29" s="230"/>
      <c r="K29" s="67"/>
      <c r="L29" s="231"/>
      <c r="M29" s="45"/>
      <c r="N29" s="232"/>
      <c r="O29" s="233"/>
      <c r="P29" s="45"/>
      <c r="Q29" s="67"/>
      <c r="R29" s="234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</row>
    <row r="30">
      <c r="A30" s="37"/>
      <c r="B30" s="37"/>
      <c r="C30" s="37"/>
      <c r="E30" s="37"/>
      <c r="F30" s="37"/>
      <c r="G30" s="37"/>
      <c r="H30" s="37"/>
      <c r="I30" s="37"/>
      <c r="J30" s="31"/>
      <c r="L30" s="31"/>
      <c r="N30" s="235"/>
      <c r="O30" s="31"/>
      <c r="R30" s="31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1"/>
      <c r="K31" s="31"/>
      <c r="L31" s="31"/>
      <c r="M31" s="31"/>
      <c r="N31" s="235"/>
      <c r="O31" s="31"/>
      <c r="P31" s="31"/>
      <c r="Q31" s="31"/>
      <c r="R31" s="31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</row>
    <row r="32">
      <c r="A32" s="37"/>
      <c r="B32" s="85" t="s">
        <v>153</v>
      </c>
      <c r="C32" s="86" t="s">
        <v>62</v>
      </c>
      <c r="D32" s="87"/>
      <c r="E32" s="88" t="s">
        <v>63</v>
      </c>
      <c r="F32" s="40"/>
      <c r="G32" s="41"/>
      <c r="H32" s="37"/>
      <c r="I32" s="37"/>
      <c r="J32" s="161" t="s">
        <v>64</v>
      </c>
      <c r="K32" s="87"/>
      <c r="L32" s="160" t="s">
        <v>65</v>
      </c>
      <c r="M32" s="87"/>
      <c r="N32" s="207" t="s">
        <v>66</v>
      </c>
      <c r="O32" s="160" t="s">
        <v>67</v>
      </c>
      <c r="P32" s="40"/>
      <c r="Q32" s="87"/>
      <c r="R32" s="162" t="s">
        <v>68</v>
      </c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</row>
    <row r="33">
      <c r="A33" s="153"/>
      <c r="B33" s="42"/>
      <c r="C33" s="90"/>
      <c r="D33" s="25"/>
      <c r="E33" s="90"/>
      <c r="G33" s="43"/>
      <c r="H33" s="37"/>
      <c r="I33" s="37"/>
      <c r="J33" s="42"/>
      <c r="K33" s="25"/>
      <c r="L33" s="90"/>
      <c r="M33" s="25"/>
      <c r="N33" s="90"/>
      <c r="O33" s="90"/>
      <c r="Q33" s="25"/>
      <c r="R33" s="91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</row>
    <row r="34">
      <c r="A34" s="153"/>
      <c r="B34" s="92"/>
      <c r="C34" s="27"/>
      <c r="D34" s="28"/>
      <c r="E34" s="27"/>
      <c r="F34" s="22"/>
      <c r="G34" s="93"/>
      <c r="H34" s="37"/>
      <c r="I34" s="37"/>
      <c r="J34" s="92"/>
      <c r="K34" s="28"/>
      <c r="L34" s="27"/>
      <c r="M34" s="28"/>
      <c r="N34" s="27"/>
      <c r="O34" s="27"/>
      <c r="P34" s="22"/>
      <c r="Q34" s="28"/>
      <c r="R34" s="9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</row>
    <row r="35">
      <c r="A35" s="153"/>
      <c r="B35" s="95" t="s">
        <v>154</v>
      </c>
      <c r="C35" s="96" t="s">
        <v>87</v>
      </c>
      <c r="D35" s="25"/>
      <c r="E35" s="100" t="s">
        <v>150</v>
      </c>
      <c r="G35" s="43"/>
      <c r="H35" s="37"/>
      <c r="I35" s="37"/>
      <c r="J35" s="217">
        <v>2.0</v>
      </c>
      <c r="K35" s="25"/>
      <c r="L35" s="209">
        <v>45573.0</v>
      </c>
      <c r="N35" s="210"/>
      <c r="O35" s="218"/>
      <c r="Q35" s="25"/>
      <c r="R35" s="211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</row>
    <row r="36">
      <c r="A36" s="37"/>
      <c r="B36" s="103" t="s">
        <v>155</v>
      </c>
      <c r="C36" s="104" t="s">
        <v>87</v>
      </c>
      <c r="D36" s="25"/>
      <c r="E36" s="105"/>
      <c r="G36" s="43"/>
      <c r="H36" s="37"/>
      <c r="I36" s="37"/>
      <c r="J36" s="219" t="s">
        <v>78</v>
      </c>
      <c r="K36" s="25"/>
      <c r="L36" s="213">
        <v>45636.0</v>
      </c>
      <c r="N36" s="214"/>
      <c r="O36" s="123" t="s">
        <v>73</v>
      </c>
      <c r="Q36" s="25"/>
      <c r="R36" s="216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</row>
    <row r="37">
      <c r="A37" s="37"/>
      <c r="B37" s="95" t="s">
        <v>156</v>
      </c>
      <c r="C37" s="96" t="s">
        <v>157</v>
      </c>
      <c r="D37" s="25"/>
      <c r="E37" s="100" t="s">
        <v>158</v>
      </c>
      <c r="G37" s="43"/>
      <c r="H37" s="37"/>
      <c r="I37" s="37"/>
      <c r="J37" s="208">
        <v>2.0</v>
      </c>
      <c r="K37" s="25"/>
      <c r="L37" s="236">
        <v>45875.0</v>
      </c>
      <c r="N37" s="237"/>
      <c r="O37" s="218"/>
      <c r="Q37" s="25"/>
      <c r="R37" s="223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</row>
    <row r="38">
      <c r="A38" s="37"/>
      <c r="B38" s="103" t="s">
        <v>159</v>
      </c>
      <c r="C38" s="104" t="s">
        <v>160</v>
      </c>
      <c r="D38" s="25"/>
      <c r="E38" s="105"/>
      <c r="G38" s="43"/>
      <c r="H38" s="37"/>
      <c r="I38" s="37"/>
      <c r="J38" s="212">
        <v>2.0</v>
      </c>
      <c r="K38" s="25"/>
      <c r="L38" s="213">
        <v>45636.0</v>
      </c>
      <c r="N38" s="214"/>
      <c r="O38" s="215"/>
      <c r="Q38" s="25"/>
      <c r="R38" s="216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</row>
    <row r="39">
      <c r="A39" s="37"/>
      <c r="B39" s="141" t="s">
        <v>161</v>
      </c>
      <c r="C39" s="115" t="s">
        <v>84</v>
      </c>
      <c r="D39" s="25"/>
      <c r="E39" s="97"/>
      <c r="G39" s="43"/>
      <c r="H39" s="37"/>
      <c r="I39" s="37"/>
      <c r="J39" s="238">
        <v>2.0</v>
      </c>
      <c r="K39" s="25"/>
      <c r="L39" s="239">
        <v>45573.0</v>
      </c>
      <c r="N39" s="240"/>
      <c r="O39" s="241"/>
      <c r="Q39" s="25"/>
      <c r="R39" s="242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</row>
    <row r="40">
      <c r="A40" s="37"/>
      <c r="B40" s="103" t="s">
        <v>107</v>
      </c>
      <c r="C40" s="104" t="s">
        <v>81</v>
      </c>
      <c r="D40" s="25"/>
      <c r="E40" s="123" t="s">
        <v>162</v>
      </c>
      <c r="G40" s="43"/>
      <c r="H40" s="37"/>
      <c r="I40" s="37"/>
      <c r="J40" s="219" t="s">
        <v>78</v>
      </c>
      <c r="K40" s="25"/>
      <c r="L40" s="220" t="s">
        <v>134</v>
      </c>
      <c r="N40" s="214"/>
      <c r="O40" s="123" t="s">
        <v>73</v>
      </c>
      <c r="Q40" s="25"/>
      <c r="R40" s="243">
        <v>3100.0</v>
      </c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</row>
    <row r="41">
      <c r="A41" s="37"/>
      <c r="B41" s="141" t="s">
        <v>163</v>
      </c>
      <c r="C41" s="115" t="s">
        <v>164</v>
      </c>
      <c r="D41" s="25"/>
      <c r="E41" s="97" t="s">
        <v>165</v>
      </c>
      <c r="G41" s="43"/>
      <c r="H41" s="37"/>
      <c r="I41" s="37"/>
      <c r="J41" s="238" t="s">
        <v>78</v>
      </c>
      <c r="K41" s="25"/>
      <c r="L41" s="244" t="s">
        <v>134</v>
      </c>
      <c r="N41" s="245"/>
      <c r="O41" s="97" t="s">
        <v>73</v>
      </c>
      <c r="Q41" s="25"/>
      <c r="R41" s="246">
        <v>3101.0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</row>
    <row r="42">
      <c r="A42" s="37"/>
      <c r="B42" s="200"/>
      <c r="C42" s="104"/>
      <c r="D42" s="25"/>
      <c r="E42" s="123"/>
      <c r="G42" s="43"/>
      <c r="H42" s="37"/>
      <c r="I42" s="37"/>
      <c r="J42" s="219"/>
      <c r="K42" s="25"/>
      <c r="L42" s="247"/>
      <c r="N42" s="248"/>
      <c r="O42" s="123"/>
      <c r="Q42" s="25"/>
      <c r="R42" s="243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</row>
    <row r="43">
      <c r="A43" s="37"/>
      <c r="B43" s="144"/>
      <c r="C43" s="96"/>
      <c r="D43" s="25"/>
      <c r="E43" s="102"/>
      <c r="G43" s="43"/>
      <c r="H43" s="37"/>
      <c r="I43" s="37"/>
      <c r="J43" s="227"/>
      <c r="K43" s="25"/>
      <c r="L43" s="228"/>
      <c r="N43" s="229"/>
      <c r="O43" s="218"/>
      <c r="Q43" s="25"/>
      <c r="R43" s="211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</row>
    <row r="44">
      <c r="A44" s="37"/>
      <c r="B44" s="146"/>
      <c r="C44" s="104"/>
      <c r="D44" s="25"/>
      <c r="E44" s="105"/>
      <c r="G44" s="43"/>
      <c r="H44" s="37"/>
      <c r="I44" s="37"/>
      <c r="J44" s="224"/>
      <c r="K44" s="25"/>
      <c r="L44" s="225"/>
      <c r="N44" s="226"/>
      <c r="O44" s="215"/>
      <c r="Q44" s="25"/>
      <c r="R44" s="216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</row>
    <row r="45">
      <c r="A45" s="37"/>
      <c r="B45" s="144"/>
      <c r="C45" s="96"/>
      <c r="D45" s="25"/>
      <c r="E45" s="102"/>
      <c r="G45" s="43"/>
      <c r="H45" s="37"/>
      <c r="I45" s="37"/>
      <c r="J45" s="227"/>
      <c r="K45" s="25"/>
      <c r="L45" s="228"/>
      <c r="N45" s="229"/>
      <c r="O45" s="218"/>
      <c r="Q45" s="25"/>
      <c r="R45" s="211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</row>
    <row r="46">
      <c r="A46" s="37"/>
      <c r="B46" s="146"/>
      <c r="C46" s="104"/>
      <c r="D46" s="25"/>
      <c r="E46" s="105"/>
      <c r="G46" s="43"/>
      <c r="H46" s="37"/>
      <c r="I46" s="37"/>
      <c r="J46" s="224"/>
      <c r="K46" s="25"/>
      <c r="L46" s="225"/>
      <c r="N46" s="226"/>
      <c r="O46" s="215"/>
      <c r="Q46" s="25"/>
      <c r="R46" s="216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</row>
    <row r="47">
      <c r="A47" s="37"/>
      <c r="B47" s="147"/>
      <c r="C47" s="148"/>
      <c r="D47" s="67"/>
      <c r="E47" s="149"/>
      <c r="F47" s="45"/>
      <c r="G47" s="46"/>
      <c r="H47" s="37"/>
      <c r="I47" s="37"/>
      <c r="J47" s="230"/>
      <c r="K47" s="67"/>
      <c r="L47" s="231"/>
      <c r="M47" s="45"/>
      <c r="N47" s="232"/>
      <c r="O47" s="233"/>
      <c r="P47" s="45"/>
      <c r="Q47" s="67"/>
      <c r="R47" s="23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1"/>
      <c r="K48" s="31"/>
      <c r="L48" s="31"/>
      <c r="M48" s="31"/>
      <c r="N48" s="235"/>
      <c r="O48" s="31"/>
      <c r="P48" s="31"/>
      <c r="Q48" s="31"/>
      <c r="R48" s="31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1"/>
      <c r="K49" s="31"/>
      <c r="L49" s="31"/>
      <c r="M49" s="31"/>
      <c r="N49" s="235"/>
      <c r="O49" s="31"/>
      <c r="P49" s="31"/>
      <c r="Q49" s="31"/>
      <c r="R49" s="31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</row>
    <row r="50">
      <c r="A50" s="37"/>
      <c r="B50" s="85" t="s">
        <v>166</v>
      </c>
      <c r="C50" s="86" t="s">
        <v>62</v>
      </c>
      <c r="D50" s="87"/>
      <c r="E50" s="88" t="s">
        <v>63</v>
      </c>
      <c r="F50" s="40"/>
      <c r="G50" s="41"/>
      <c r="H50" s="37"/>
      <c r="I50" s="37"/>
      <c r="J50" s="161" t="s">
        <v>64</v>
      </c>
      <c r="K50" s="87"/>
      <c r="L50" s="160" t="s">
        <v>65</v>
      </c>
      <c r="M50" s="87"/>
      <c r="N50" s="207" t="s">
        <v>66</v>
      </c>
      <c r="O50" s="160" t="s">
        <v>67</v>
      </c>
      <c r="P50" s="40"/>
      <c r="Q50" s="87"/>
      <c r="R50" s="162" t="s">
        <v>68</v>
      </c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</row>
    <row r="51">
      <c r="A51" s="37"/>
      <c r="B51" s="42"/>
      <c r="C51" s="90"/>
      <c r="D51" s="25"/>
      <c r="E51" s="90"/>
      <c r="G51" s="43"/>
      <c r="H51" s="37"/>
      <c r="I51" s="37"/>
      <c r="J51" s="42"/>
      <c r="K51" s="25"/>
      <c r="L51" s="90"/>
      <c r="M51" s="25"/>
      <c r="N51" s="90"/>
      <c r="O51" s="90"/>
      <c r="Q51" s="25"/>
      <c r="R51" s="91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</row>
    <row r="52">
      <c r="A52" s="37"/>
      <c r="B52" s="92"/>
      <c r="C52" s="27"/>
      <c r="D52" s="28"/>
      <c r="E52" s="27"/>
      <c r="F52" s="22"/>
      <c r="G52" s="93"/>
      <c r="H52" s="37"/>
      <c r="I52" s="37"/>
      <c r="J52" s="92"/>
      <c r="K52" s="28"/>
      <c r="L52" s="27"/>
      <c r="M52" s="28"/>
      <c r="N52" s="27"/>
      <c r="O52" s="27"/>
      <c r="P52" s="22"/>
      <c r="Q52" s="28"/>
      <c r="R52" s="94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</row>
    <row r="53">
      <c r="A53" s="37"/>
      <c r="B53" s="95" t="s">
        <v>167</v>
      </c>
      <c r="C53" s="96" t="s">
        <v>168</v>
      </c>
      <c r="D53" s="25"/>
      <c r="E53" s="102"/>
      <c r="G53" s="43"/>
      <c r="H53" s="37"/>
      <c r="I53" s="37"/>
      <c r="J53" s="208">
        <v>2.0</v>
      </c>
      <c r="K53" s="25"/>
      <c r="L53" s="222" t="s">
        <v>134</v>
      </c>
      <c r="N53" s="210"/>
      <c r="O53" s="100" t="s">
        <v>124</v>
      </c>
      <c r="Q53" s="25"/>
      <c r="R53" s="223">
        <v>3101.0</v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</row>
    <row r="54">
      <c r="A54" s="37"/>
      <c r="B54" s="103" t="s">
        <v>169</v>
      </c>
      <c r="C54" s="104" t="s">
        <v>96</v>
      </c>
      <c r="D54" s="25"/>
      <c r="E54" s="105"/>
      <c r="G54" s="43"/>
      <c r="H54" s="37"/>
      <c r="I54" s="37"/>
      <c r="J54" s="219" t="s">
        <v>78</v>
      </c>
      <c r="K54" s="25"/>
      <c r="L54" s="220" t="s">
        <v>134</v>
      </c>
      <c r="N54" s="214"/>
      <c r="O54" s="123" t="s">
        <v>73</v>
      </c>
      <c r="Q54" s="25"/>
      <c r="R54" s="221">
        <v>3101.0</v>
      </c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</row>
    <row r="55">
      <c r="A55" s="37"/>
      <c r="B55" s="95" t="s">
        <v>170</v>
      </c>
      <c r="C55" s="96" t="s">
        <v>99</v>
      </c>
      <c r="D55" s="25"/>
      <c r="E55" s="102"/>
      <c r="G55" s="43"/>
      <c r="H55" s="37"/>
      <c r="I55" s="37"/>
      <c r="J55" s="208">
        <v>2.0</v>
      </c>
      <c r="K55" s="25"/>
      <c r="L55" s="209">
        <v>45510.0</v>
      </c>
      <c r="N55" s="210"/>
      <c r="O55" s="218"/>
      <c r="Q55" s="25"/>
      <c r="R55" s="211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</row>
    <row r="56">
      <c r="A56" s="37"/>
      <c r="B56" s="103" t="s">
        <v>171</v>
      </c>
      <c r="C56" s="104" t="s">
        <v>94</v>
      </c>
      <c r="D56" s="25"/>
      <c r="E56" s="123"/>
      <c r="G56" s="43"/>
      <c r="H56" s="37"/>
      <c r="I56" s="37"/>
      <c r="J56" s="219">
        <v>2.0</v>
      </c>
      <c r="K56" s="25"/>
      <c r="L56" s="213">
        <v>45573.0</v>
      </c>
      <c r="N56" s="214"/>
      <c r="O56" s="215"/>
      <c r="Q56" s="25"/>
      <c r="R56" s="216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>
      <c r="A57" s="37"/>
      <c r="B57" s="141" t="s">
        <v>172</v>
      </c>
      <c r="C57" s="115" t="s">
        <v>94</v>
      </c>
      <c r="D57" s="25"/>
      <c r="E57" s="97" t="s">
        <v>173</v>
      </c>
      <c r="G57" s="43"/>
      <c r="H57" s="37"/>
      <c r="I57" s="37"/>
      <c r="J57" s="238" t="s">
        <v>78</v>
      </c>
      <c r="K57" s="25"/>
      <c r="L57" s="239">
        <v>45636.0</v>
      </c>
      <c r="N57" s="240"/>
      <c r="O57" s="97" t="s">
        <v>73</v>
      </c>
      <c r="Q57" s="25"/>
      <c r="R57" s="249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</row>
    <row r="58">
      <c r="A58" s="37"/>
      <c r="B58" s="103" t="s">
        <v>174</v>
      </c>
      <c r="C58" s="104" t="s">
        <v>175</v>
      </c>
      <c r="D58" s="25"/>
      <c r="E58" s="105"/>
      <c r="G58" s="43"/>
      <c r="H58" s="37"/>
      <c r="I58" s="37"/>
      <c r="J58" s="212">
        <v>2.0</v>
      </c>
      <c r="K58" s="25"/>
      <c r="L58" s="250">
        <v>45999.0</v>
      </c>
      <c r="N58" s="214"/>
      <c r="O58" s="215"/>
      <c r="Q58" s="25"/>
      <c r="R58" s="221">
        <v>3100.0</v>
      </c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</row>
    <row r="59">
      <c r="A59" s="37"/>
      <c r="B59" s="251"/>
      <c r="C59" s="96"/>
      <c r="D59" s="25"/>
      <c r="E59" s="102"/>
      <c r="G59" s="43"/>
      <c r="H59" s="37"/>
      <c r="I59" s="37"/>
      <c r="J59" s="217"/>
      <c r="K59" s="25"/>
      <c r="L59" s="209"/>
      <c r="N59" s="210"/>
      <c r="O59" s="218"/>
      <c r="Q59" s="25"/>
      <c r="R59" s="223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</row>
    <row r="60">
      <c r="A60" s="37"/>
      <c r="B60" s="146"/>
      <c r="C60" s="104"/>
      <c r="D60" s="25"/>
      <c r="E60" s="105"/>
      <c r="G60" s="43"/>
      <c r="H60" s="37"/>
      <c r="I60" s="37"/>
      <c r="J60" s="224"/>
      <c r="K60" s="25"/>
      <c r="L60" s="225"/>
      <c r="N60" s="226"/>
      <c r="O60" s="215"/>
      <c r="Q60" s="25"/>
      <c r="R60" s="216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</row>
    <row r="61">
      <c r="A61" s="37"/>
      <c r="B61" s="251"/>
      <c r="C61" s="96"/>
      <c r="D61" s="25"/>
      <c r="E61" s="100"/>
      <c r="G61" s="43"/>
      <c r="H61" s="37"/>
      <c r="I61" s="37"/>
      <c r="J61" s="217"/>
      <c r="K61" s="25"/>
      <c r="L61" s="209"/>
      <c r="N61" s="210"/>
      <c r="O61" s="218"/>
      <c r="Q61" s="25"/>
      <c r="R61" s="223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</row>
    <row r="62">
      <c r="A62" s="37"/>
      <c r="B62" s="200"/>
      <c r="C62" s="104"/>
      <c r="D62" s="25"/>
      <c r="E62" s="123"/>
      <c r="G62" s="43"/>
      <c r="H62" s="37"/>
      <c r="I62" s="37"/>
      <c r="J62" s="219"/>
      <c r="K62" s="25"/>
      <c r="L62" s="213"/>
      <c r="N62" s="214"/>
      <c r="O62" s="215"/>
      <c r="Q62" s="25"/>
      <c r="R62" s="216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</row>
    <row r="63">
      <c r="A63" s="37"/>
      <c r="B63" s="159"/>
      <c r="C63" s="115"/>
      <c r="D63" s="25"/>
      <c r="E63" s="97"/>
      <c r="G63" s="43"/>
      <c r="H63" s="37"/>
      <c r="I63" s="37"/>
      <c r="J63" s="238"/>
      <c r="K63" s="25"/>
      <c r="L63" s="239"/>
      <c r="N63" s="240"/>
      <c r="O63" s="97"/>
      <c r="Q63" s="25"/>
      <c r="R63" s="249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</row>
    <row r="64">
      <c r="A64" s="37"/>
      <c r="B64" s="146"/>
      <c r="C64" s="104"/>
      <c r="D64" s="25"/>
      <c r="E64" s="105"/>
      <c r="G64" s="43"/>
      <c r="H64" s="37"/>
      <c r="I64" s="37"/>
      <c r="J64" s="224"/>
      <c r="K64" s="25"/>
      <c r="L64" s="225"/>
      <c r="N64" s="226"/>
      <c r="O64" s="215"/>
      <c r="Q64" s="25"/>
      <c r="R64" s="216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</row>
    <row r="65">
      <c r="A65" s="37"/>
      <c r="B65" s="147"/>
      <c r="C65" s="148"/>
      <c r="D65" s="67"/>
      <c r="E65" s="149"/>
      <c r="F65" s="45"/>
      <c r="G65" s="46"/>
      <c r="H65" s="37"/>
      <c r="I65" s="37"/>
      <c r="J65" s="230"/>
      <c r="K65" s="67"/>
      <c r="L65" s="231"/>
      <c r="M65" s="45"/>
      <c r="N65" s="232"/>
      <c r="O65" s="233"/>
      <c r="P65" s="45"/>
      <c r="Q65" s="67"/>
      <c r="R65" s="234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</row>
    <row r="66">
      <c r="A66" s="37"/>
      <c r="B66" s="194"/>
      <c r="C66" s="194"/>
      <c r="D66" s="194"/>
      <c r="E66" s="194"/>
      <c r="F66" s="194"/>
      <c r="G66" s="37"/>
      <c r="H66" s="37"/>
      <c r="I66" s="37"/>
      <c r="J66" s="31"/>
      <c r="K66" s="31"/>
      <c r="L66" s="31"/>
      <c r="M66" s="31"/>
      <c r="N66" s="235"/>
      <c r="O66" s="31"/>
      <c r="P66" s="31"/>
      <c r="Q66" s="31"/>
      <c r="R66" s="31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</row>
    <row r="67">
      <c r="A67" s="37"/>
      <c r="B67" s="194"/>
      <c r="C67" s="194"/>
      <c r="D67" s="194"/>
      <c r="E67" s="194"/>
      <c r="F67" s="194"/>
      <c r="G67" s="37"/>
      <c r="H67" s="37"/>
      <c r="I67" s="37"/>
      <c r="J67" s="31"/>
      <c r="K67" s="31"/>
      <c r="L67" s="31"/>
      <c r="M67" s="31"/>
      <c r="N67" s="235"/>
      <c r="O67" s="31"/>
      <c r="P67" s="31"/>
      <c r="Q67" s="31"/>
      <c r="R67" s="31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</row>
    <row r="68">
      <c r="A68" s="37"/>
      <c r="B68" s="85" t="s">
        <v>176</v>
      </c>
      <c r="C68" s="86" t="s">
        <v>62</v>
      </c>
      <c r="D68" s="87"/>
      <c r="E68" s="88" t="s">
        <v>63</v>
      </c>
      <c r="F68" s="40"/>
      <c r="G68" s="41"/>
      <c r="H68" s="37"/>
      <c r="I68" s="37"/>
      <c r="J68" s="161" t="s">
        <v>64</v>
      </c>
      <c r="K68" s="87"/>
      <c r="L68" s="160" t="s">
        <v>65</v>
      </c>
      <c r="M68" s="87"/>
      <c r="N68" s="207" t="s">
        <v>66</v>
      </c>
      <c r="O68" s="160" t="s">
        <v>67</v>
      </c>
      <c r="P68" s="40"/>
      <c r="Q68" s="87"/>
      <c r="R68" s="162" t="s">
        <v>68</v>
      </c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</row>
    <row r="69">
      <c r="A69" s="37"/>
      <c r="B69" s="42"/>
      <c r="C69" s="90"/>
      <c r="D69" s="25"/>
      <c r="E69" s="90"/>
      <c r="G69" s="43"/>
      <c r="H69" s="37"/>
      <c r="I69" s="37"/>
      <c r="J69" s="42"/>
      <c r="K69" s="25"/>
      <c r="L69" s="90"/>
      <c r="M69" s="25"/>
      <c r="N69" s="90"/>
      <c r="O69" s="90"/>
      <c r="Q69" s="25"/>
      <c r="R69" s="91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</row>
    <row r="70">
      <c r="A70" s="37"/>
      <c r="B70" s="92"/>
      <c r="C70" s="27"/>
      <c r="D70" s="28"/>
      <c r="E70" s="27"/>
      <c r="F70" s="22"/>
      <c r="G70" s="93"/>
      <c r="H70" s="37"/>
      <c r="I70" s="37"/>
      <c r="J70" s="92"/>
      <c r="K70" s="28"/>
      <c r="L70" s="27"/>
      <c r="M70" s="28"/>
      <c r="N70" s="27"/>
      <c r="O70" s="27"/>
      <c r="P70" s="22"/>
      <c r="Q70" s="28"/>
      <c r="R70" s="94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</row>
    <row r="71">
      <c r="A71" s="37"/>
      <c r="B71" s="252" t="s">
        <v>127</v>
      </c>
      <c r="C71" s="253" t="s">
        <v>70</v>
      </c>
      <c r="D71" s="25"/>
      <c r="E71" s="254" t="s">
        <v>177</v>
      </c>
      <c r="G71" s="43"/>
      <c r="H71" s="37"/>
      <c r="I71" s="37"/>
      <c r="J71" s="255">
        <v>2.0</v>
      </c>
      <c r="K71" s="25"/>
      <c r="L71" s="256" t="s">
        <v>134</v>
      </c>
      <c r="N71" s="257"/>
      <c r="O71" s="254"/>
      <c r="Q71" s="25"/>
      <c r="R71" s="258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</row>
    <row r="72">
      <c r="A72" s="37"/>
      <c r="B72" s="103" t="s">
        <v>178</v>
      </c>
      <c r="C72" s="104" t="s">
        <v>75</v>
      </c>
      <c r="D72" s="25"/>
      <c r="E72" s="123"/>
      <c r="G72" s="43"/>
      <c r="H72" s="37"/>
      <c r="I72" s="37"/>
      <c r="J72" s="219">
        <v>2.0</v>
      </c>
      <c r="K72" s="25"/>
      <c r="L72" s="213">
        <v>45573.0</v>
      </c>
      <c r="N72" s="214"/>
      <c r="O72" s="215"/>
      <c r="Q72" s="25"/>
      <c r="R72" s="216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</row>
    <row r="73">
      <c r="A73" s="37"/>
      <c r="B73" s="95" t="s">
        <v>179</v>
      </c>
      <c r="C73" s="96" t="s">
        <v>77</v>
      </c>
      <c r="D73" s="25"/>
      <c r="E73" s="102"/>
      <c r="G73" s="43"/>
      <c r="H73" s="37"/>
      <c r="I73" s="37"/>
      <c r="J73" s="208">
        <v>2.0</v>
      </c>
      <c r="K73" s="25"/>
      <c r="L73" s="209">
        <v>45510.0</v>
      </c>
      <c r="N73" s="210"/>
      <c r="O73" s="218"/>
      <c r="Q73" s="25"/>
      <c r="R73" s="211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</row>
    <row r="74">
      <c r="A74" s="37"/>
      <c r="B74" s="103" t="s">
        <v>180</v>
      </c>
      <c r="C74" s="104" t="s">
        <v>89</v>
      </c>
      <c r="D74" s="25"/>
      <c r="E74" s="123" t="s">
        <v>126</v>
      </c>
      <c r="G74" s="43"/>
      <c r="H74" s="37"/>
      <c r="I74" s="37"/>
      <c r="J74" s="212">
        <v>2.0</v>
      </c>
      <c r="K74" s="25"/>
      <c r="L74" s="213">
        <v>45573.0</v>
      </c>
      <c r="N74" s="214"/>
      <c r="O74" s="215"/>
      <c r="Q74" s="25"/>
      <c r="R74" s="216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</row>
    <row r="75">
      <c r="A75" s="37"/>
      <c r="B75" s="95" t="s">
        <v>141</v>
      </c>
      <c r="C75" s="96" t="s">
        <v>77</v>
      </c>
      <c r="D75" s="25"/>
      <c r="E75" s="102"/>
      <c r="G75" s="43"/>
      <c r="H75" s="37"/>
      <c r="I75" s="37"/>
      <c r="J75" s="208" t="s">
        <v>78</v>
      </c>
      <c r="K75" s="25"/>
      <c r="L75" s="259" t="s">
        <v>108</v>
      </c>
      <c r="N75" s="237"/>
      <c r="O75" s="100" t="s">
        <v>73</v>
      </c>
      <c r="Q75" s="25"/>
      <c r="R75" s="258">
        <v>3101.0</v>
      </c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</row>
    <row r="76">
      <c r="A76" s="37"/>
      <c r="B76" s="103" t="s">
        <v>139</v>
      </c>
      <c r="C76" s="104" t="s">
        <v>70</v>
      </c>
      <c r="D76" s="25"/>
      <c r="E76" s="123"/>
      <c r="G76" s="43"/>
      <c r="H76" s="37"/>
      <c r="I76" s="37"/>
      <c r="J76" s="219" t="s">
        <v>78</v>
      </c>
      <c r="K76" s="25"/>
      <c r="L76" s="250">
        <v>45999.0</v>
      </c>
      <c r="N76" s="248"/>
      <c r="O76" s="123" t="s">
        <v>97</v>
      </c>
      <c r="Q76" s="25"/>
      <c r="R76" s="216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</row>
    <row r="77">
      <c r="A77" s="37"/>
      <c r="B77" s="141" t="s">
        <v>88</v>
      </c>
      <c r="C77" s="96" t="s">
        <v>89</v>
      </c>
      <c r="D77" s="25"/>
      <c r="E77" s="100"/>
      <c r="G77" s="43"/>
      <c r="H77" s="37"/>
      <c r="I77" s="37"/>
      <c r="J77" s="208" t="s">
        <v>78</v>
      </c>
      <c r="K77" s="25"/>
      <c r="L77" s="259" t="s">
        <v>108</v>
      </c>
      <c r="N77" s="210"/>
      <c r="O77" s="100" t="s">
        <v>73</v>
      </c>
      <c r="Q77" s="25"/>
      <c r="R77" s="223">
        <v>3101.0</v>
      </c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</row>
    <row r="78">
      <c r="A78" s="37"/>
      <c r="B78" s="146"/>
      <c r="C78" s="104"/>
      <c r="D78" s="25"/>
      <c r="E78" s="105"/>
      <c r="G78" s="43"/>
      <c r="H78" s="37"/>
      <c r="I78" s="37"/>
      <c r="J78" s="224"/>
      <c r="K78" s="25"/>
      <c r="L78" s="225"/>
      <c r="N78" s="226"/>
      <c r="O78" s="215"/>
      <c r="Q78" s="25"/>
      <c r="R78" s="216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</row>
    <row r="79">
      <c r="A79" s="37"/>
      <c r="B79" s="144"/>
      <c r="C79" s="96"/>
      <c r="D79" s="25"/>
      <c r="E79" s="102"/>
      <c r="G79" s="43"/>
      <c r="H79" s="37"/>
      <c r="I79" s="37"/>
      <c r="J79" s="227"/>
      <c r="K79" s="25"/>
      <c r="L79" s="228"/>
      <c r="N79" s="229"/>
      <c r="O79" s="218"/>
      <c r="Q79" s="25"/>
      <c r="R79" s="211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</row>
    <row r="80">
      <c r="A80" s="37"/>
      <c r="B80" s="146"/>
      <c r="C80" s="104"/>
      <c r="D80" s="25"/>
      <c r="E80" s="105"/>
      <c r="G80" s="43"/>
      <c r="H80" s="37"/>
      <c r="I80" s="37"/>
      <c r="J80" s="224"/>
      <c r="K80" s="25"/>
      <c r="L80" s="225"/>
      <c r="N80" s="226"/>
      <c r="O80" s="215"/>
      <c r="Q80" s="25"/>
      <c r="R80" s="216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</row>
    <row r="81">
      <c r="A81" s="37"/>
      <c r="B81" s="251"/>
      <c r="C81" s="96"/>
      <c r="D81" s="25"/>
      <c r="E81" s="100"/>
      <c r="G81" s="43"/>
      <c r="H81" s="37"/>
      <c r="I81" s="37"/>
      <c r="J81" s="217"/>
      <c r="K81" s="25"/>
      <c r="L81" s="209"/>
      <c r="N81" s="210"/>
      <c r="O81" s="218"/>
      <c r="Q81" s="25"/>
      <c r="R81" s="211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</row>
    <row r="82">
      <c r="A82" s="37"/>
      <c r="B82" s="200"/>
      <c r="C82" s="104"/>
      <c r="D82" s="25"/>
      <c r="E82" s="123"/>
      <c r="G82" s="43"/>
      <c r="H82" s="37"/>
      <c r="I82" s="37"/>
      <c r="J82" s="212"/>
      <c r="K82" s="25"/>
      <c r="L82" s="220"/>
      <c r="N82" s="214"/>
      <c r="O82" s="260"/>
      <c r="Q82" s="25"/>
      <c r="R82" s="221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</row>
    <row r="83">
      <c r="A83" s="37"/>
      <c r="B83" s="147"/>
      <c r="C83" s="148"/>
      <c r="D83" s="67"/>
      <c r="E83" s="149"/>
      <c r="F83" s="45"/>
      <c r="G83" s="46"/>
      <c r="H83" s="37"/>
      <c r="I83" s="37"/>
      <c r="J83" s="230"/>
      <c r="K83" s="67"/>
      <c r="L83" s="231"/>
      <c r="M83" s="45"/>
      <c r="N83" s="232"/>
      <c r="O83" s="233"/>
      <c r="P83" s="45"/>
      <c r="Q83" s="67"/>
      <c r="R83" s="234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</row>
    <row r="84">
      <c r="A84" s="37"/>
      <c r="B84" s="194"/>
      <c r="C84" s="194"/>
      <c r="D84" s="194"/>
      <c r="E84" s="194"/>
      <c r="F84" s="194"/>
      <c r="G84" s="37"/>
      <c r="H84" s="37"/>
      <c r="I84" s="37"/>
      <c r="J84" s="31"/>
      <c r="K84" s="31"/>
      <c r="L84" s="31"/>
      <c r="M84" s="31"/>
      <c r="N84" s="235"/>
      <c r="O84" s="31"/>
      <c r="P84" s="31"/>
      <c r="Q84" s="31"/>
      <c r="R84" s="31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</row>
    <row r="85">
      <c r="A85" s="37"/>
      <c r="B85" s="194"/>
      <c r="C85" s="194"/>
      <c r="D85" s="194"/>
      <c r="E85" s="194"/>
      <c r="F85" s="194"/>
      <c r="G85" s="37"/>
      <c r="H85" s="37"/>
      <c r="I85" s="37"/>
      <c r="J85" s="31"/>
      <c r="K85" s="31"/>
      <c r="L85" s="31"/>
      <c r="M85" s="31"/>
      <c r="N85" s="235"/>
      <c r="O85" s="31"/>
      <c r="P85" s="31"/>
      <c r="Q85" s="31"/>
      <c r="R85" s="31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</row>
    <row r="86">
      <c r="A86" s="37"/>
      <c r="B86" s="85" t="s">
        <v>181</v>
      </c>
      <c r="C86" s="86" t="s">
        <v>62</v>
      </c>
      <c r="D86" s="87"/>
      <c r="E86" s="88" t="s">
        <v>63</v>
      </c>
      <c r="F86" s="40"/>
      <c r="G86" s="41"/>
      <c r="H86" s="37"/>
      <c r="I86" s="37"/>
      <c r="J86" s="161" t="s">
        <v>64</v>
      </c>
      <c r="K86" s="87"/>
      <c r="L86" s="160" t="s">
        <v>65</v>
      </c>
      <c r="M86" s="87"/>
      <c r="N86" s="207" t="s">
        <v>66</v>
      </c>
      <c r="O86" s="160" t="s">
        <v>67</v>
      </c>
      <c r="P86" s="40"/>
      <c r="Q86" s="87"/>
      <c r="R86" s="162" t="s">
        <v>68</v>
      </c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</row>
    <row r="87">
      <c r="A87" s="37"/>
      <c r="B87" s="42"/>
      <c r="C87" s="90"/>
      <c r="D87" s="25"/>
      <c r="E87" s="90"/>
      <c r="G87" s="43"/>
      <c r="H87" s="37"/>
      <c r="I87" s="37"/>
      <c r="J87" s="42"/>
      <c r="K87" s="25"/>
      <c r="L87" s="90"/>
      <c r="M87" s="25"/>
      <c r="N87" s="90"/>
      <c r="O87" s="90"/>
      <c r="Q87" s="25"/>
      <c r="R87" s="91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</row>
    <row r="88">
      <c r="A88" s="37"/>
      <c r="B88" s="92"/>
      <c r="C88" s="27"/>
      <c r="D88" s="28"/>
      <c r="E88" s="27"/>
      <c r="F88" s="22"/>
      <c r="G88" s="93"/>
      <c r="H88" s="37"/>
      <c r="I88" s="37"/>
      <c r="J88" s="92"/>
      <c r="K88" s="28"/>
      <c r="L88" s="27"/>
      <c r="M88" s="28"/>
      <c r="N88" s="27"/>
      <c r="O88" s="27"/>
      <c r="P88" s="22"/>
      <c r="Q88" s="28"/>
      <c r="R88" s="94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</row>
    <row r="89">
      <c r="A89" s="37"/>
      <c r="B89" s="95" t="s">
        <v>130</v>
      </c>
      <c r="C89" s="96" t="s">
        <v>87</v>
      </c>
      <c r="D89" s="25"/>
      <c r="E89" s="100" t="s">
        <v>182</v>
      </c>
      <c r="G89" s="43"/>
      <c r="H89" s="37"/>
      <c r="I89" s="37"/>
      <c r="J89" s="208">
        <v>2.0</v>
      </c>
      <c r="K89" s="25"/>
      <c r="L89" s="209">
        <v>45634.0</v>
      </c>
      <c r="N89" s="210"/>
      <c r="O89" s="100"/>
      <c r="Q89" s="25"/>
      <c r="R89" s="211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</row>
    <row r="90">
      <c r="A90" s="37"/>
      <c r="B90" s="103" t="s">
        <v>183</v>
      </c>
      <c r="C90" s="104" t="s">
        <v>87</v>
      </c>
      <c r="D90" s="25"/>
      <c r="E90" s="123" t="s">
        <v>184</v>
      </c>
      <c r="G90" s="43"/>
      <c r="H90" s="37"/>
      <c r="I90" s="37"/>
      <c r="J90" s="219" t="s">
        <v>78</v>
      </c>
      <c r="K90" s="25"/>
      <c r="L90" s="220" t="s">
        <v>134</v>
      </c>
      <c r="N90" s="214"/>
      <c r="O90" s="123" t="s">
        <v>73</v>
      </c>
      <c r="Q90" s="25"/>
      <c r="R90" s="221">
        <v>3101.0</v>
      </c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</row>
    <row r="91">
      <c r="A91" s="37"/>
      <c r="B91" s="95" t="s">
        <v>131</v>
      </c>
      <c r="C91" s="96" t="s">
        <v>81</v>
      </c>
      <c r="D91" s="25"/>
      <c r="E91" s="100"/>
      <c r="G91" s="43"/>
      <c r="H91" s="37"/>
      <c r="I91" s="37"/>
      <c r="J91" s="217">
        <v>2.0</v>
      </c>
      <c r="K91" s="25"/>
      <c r="L91" s="209">
        <v>45634.0</v>
      </c>
      <c r="N91" s="210"/>
      <c r="O91" s="100"/>
      <c r="Q91" s="25"/>
      <c r="R91" s="223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</row>
    <row r="92">
      <c r="A92" s="37"/>
      <c r="B92" s="103" t="s">
        <v>106</v>
      </c>
      <c r="C92" s="104" t="s">
        <v>84</v>
      </c>
      <c r="D92" s="25"/>
      <c r="E92" s="123"/>
      <c r="G92" s="43"/>
      <c r="H92" s="37"/>
      <c r="I92" s="37"/>
      <c r="J92" s="219">
        <v>2.0</v>
      </c>
      <c r="K92" s="25"/>
      <c r="L92" s="213">
        <v>45573.0</v>
      </c>
      <c r="N92" s="214"/>
      <c r="O92" s="215"/>
      <c r="Q92" s="25"/>
      <c r="R92" s="243">
        <v>3101.0</v>
      </c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</row>
    <row r="93">
      <c r="A93" s="37"/>
      <c r="B93" s="141" t="s">
        <v>185</v>
      </c>
      <c r="C93" s="115" t="s">
        <v>81</v>
      </c>
      <c r="D93" s="25"/>
      <c r="E93" s="97"/>
      <c r="G93" s="43"/>
      <c r="H93" s="37"/>
      <c r="I93" s="37"/>
      <c r="J93" s="238">
        <v>2.0</v>
      </c>
      <c r="K93" s="25"/>
      <c r="L93" s="239">
        <v>45636.0</v>
      </c>
      <c r="N93" s="240"/>
      <c r="O93" s="97"/>
      <c r="Q93" s="25"/>
      <c r="R93" s="249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</row>
    <row r="94">
      <c r="A94" s="37"/>
      <c r="B94" s="103" t="s">
        <v>186</v>
      </c>
      <c r="C94" s="104" t="s">
        <v>84</v>
      </c>
      <c r="D94" s="25"/>
      <c r="E94" s="123" t="s">
        <v>82</v>
      </c>
      <c r="G94" s="43"/>
      <c r="H94" s="37"/>
      <c r="I94" s="37"/>
      <c r="J94" s="219">
        <v>2.0</v>
      </c>
      <c r="K94" s="25"/>
      <c r="L94" s="250">
        <v>46001.0</v>
      </c>
      <c r="N94" s="214"/>
      <c r="O94" s="215"/>
      <c r="Q94" s="25"/>
      <c r="R94" s="216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</row>
    <row r="95">
      <c r="A95" s="37"/>
      <c r="B95" s="95" t="s">
        <v>187</v>
      </c>
      <c r="C95" s="96" t="s">
        <v>164</v>
      </c>
      <c r="D95" s="25"/>
      <c r="E95" s="100"/>
      <c r="G95" s="43"/>
      <c r="H95" s="37"/>
      <c r="I95" s="37"/>
      <c r="J95" s="208" t="s">
        <v>78</v>
      </c>
      <c r="K95" s="25"/>
      <c r="L95" s="236">
        <v>45999.0</v>
      </c>
      <c r="N95" s="237"/>
      <c r="O95" s="100" t="s">
        <v>73</v>
      </c>
      <c r="Q95" s="25"/>
      <c r="R95" s="261">
        <v>3101.0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</row>
    <row r="96">
      <c r="A96" s="37"/>
      <c r="B96" s="146"/>
      <c r="C96" s="104"/>
      <c r="D96" s="25"/>
      <c r="E96" s="105"/>
      <c r="G96" s="43"/>
      <c r="H96" s="37"/>
      <c r="I96" s="37"/>
      <c r="J96" s="262"/>
      <c r="K96" s="25"/>
      <c r="L96" s="225"/>
      <c r="N96" s="226"/>
      <c r="O96" s="215"/>
      <c r="Q96" s="25"/>
      <c r="R96" s="216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</row>
    <row r="97">
      <c r="A97" s="37"/>
      <c r="B97" s="144"/>
      <c r="C97" s="96"/>
      <c r="D97" s="25"/>
      <c r="E97" s="102"/>
      <c r="G97" s="43"/>
      <c r="H97" s="37"/>
      <c r="I97" s="37"/>
      <c r="J97" s="227"/>
      <c r="K97" s="25"/>
      <c r="L97" s="228"/>
      <c r="N97" s="229"/>
      <c r="O97" s="218"/>
      <c r="Q97" s="25"/>
      <c r="R97" s="211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</row>
    <row r="98">
      <c r="A98" s="37"/>
      <c r="B98" s="146"/>
      <c r="C98" s="104"/>
      <c r="D98" s="25"/>
      <c r="E98" s="105"/>
      <c r="G98" s="43"/>
      <c r="H98" s="37"/>
      <c r="I98" s="37"/>
      <c r="J98" s="224"/>
      <c r="K98" s="25"/>
      <c r="L98" s="225"/>
      <c r="N98" s="226"/>
      <c r="O98" s="215"/>
      <c r="Q98" s="25"/>
      <c r="R98" s="216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</row>
    <row r="99">
      <c r="A99" s="37"/>
      <c r="B99" s="144"/>
      <c r="C99" s="96"/>
      <c r="D99" s="25"/>
      <c r="E99" s="102"/>
      <c r="G99" s="43"/>
      <c r="H99" s="37"/>
      <c r="I99" s="37"/>
      <c r="J99" s="227"/>
      <c r="K99" s="25"/>
      <c r="L99" s="228"/>
      <c r="N99" s="229"/>
      <c r="O99" s="218"/>
      <c r="Q99" s="25"/>
      <c r="R99" s="211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</row>
    <row r="100">
      <c r="A100" s="37"/>
      <c r="B100" s="146"/>
      <c r="C100" s="104"/>
      <c r="D100" s="25"/>
      <c r="E100" s="105"/>
      <c r="G100" s="43"/>
      <c r="H100" s="37"/>
      <c r="I100" s="37"/>
      <c r="J100" s="224"/>
      <c r="K100" s="25"/>
      <c r="L100" s="225"/>
      <c r="N100" s="226"/>
      <c r="O100" s="215"/>
      <c r="Q100" s="25"/>
      <c r="R100" s="216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</row>
    <row r="101">
      <c r="A101" s="37"/>
      <c r="B101" s="147"/>
      <c r="C101" s="148"/>
      <c r="D101" s="67"/>
      <c r="E101" s="149"/>
      <c r="F101" s="45"/>
      <c r="G101" s="46"/>
      <c r="H101" s="37"/>
      <c r="I101" s="37"/>
      <c r="J101" s="230"/>
      <c r="K101" s="67"/>
      <c r="L101" s="231"/>
      <c r="M101" s="45"/>
      <c r="N101" s="232"/>
      <c r="O101" s="233"/>
      <c r="P101" s="45"/>
      <c r="Q101" s="67"/>
      <c r="R101" s="234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</row>
    <row r="102">
      <c r="A102" s="37"/>
      <c r="B102" s="194"/>
      <c r="C102" s="194"/>
      <c r="D102" s="194"/>
      <c r="E102" s="194"/>
      <c r="F102" s="194"/>
      <c r="G102" s="37"/>
      <c r="H102" s="37"/>
      <c r="I102" s="194"/>
      <c r="J102" s="194"/>
      <c r="K102" s="194"/>
      <c r="L102" s="194"/>
      <c r="M102" s="194"/>
      <c r="N102" s="194"/>
      <c r="O102" s="194"/>
      <c r="P102" s="194"/>
      <c r="Q102" s="37"/>
      <c r="R102" s="37"/>
      <c r="S102" s="194"/>
      <c r="T102" s="194"/>
      <c r="U102" s="194"/>
      <c r="V102" s="194"/>
      <c r="W102" s="194"/>
      <c r="X102" s="194"/>
      <c r="Y102" s="194"/>
      <c r="Z102" s="194"/>
      <c r="AA102" s="37"/>
      <c r="AB102" s="37"/>
      <c r="AC102" s="194"/>
      <c r="AD102" s="194"/>
      <c r="AE102" s="194"/>
      <c r="AF102" s="194"/>
      <c r="AG102" s="194"/>
      <c r="AH102" s="194"/>
      <c r="AI102" s="194"/>
      <c r="AJ102" s="194"/>
      <c r="AK102" s="37"/>
      <c r="AL102" s="37"/>
      <c r="AM102" s="194"/>
      <c r="AN102" s="194"/>
      <c r="AO102" s="194"/>
      <c r="AP102" s="194"/>
      <c r="AQ102" s="194"/>
      <c r="AR102" s="194"/>
      <c r="AS102" s="194"/>
      <c r="AT102" s="194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</row>
    <row r="103">
      <c r="A103" s="37"/>
      <c r="B103" s="194"/>
      <c r="C103" s="194"/>
      <c r="D103" s="194"/>
      <c r="E103" s="194"/>
      <c r="F103" s="194"/>
      <c r="G103" s="37"/>
      <c r="H103" s="37"/>
      <c r="I103" s="194"/>
      <c r="J103" s="194"/>
      <c r="K103" s="194"/>
      <c r="L103" s="194"/>
      <c r="M103" s="194"/>
      <c r="N103" s="194"/>
      <c r="O103" s="194"/>
      <c r="P103" s="194"/>
      <c r="Q103" s="37"/>
      <c r="R103" s="37"/>
      <c r="S103" s="194"/>
      <c r="T103" s="194"/>
      <c r="U103" s="194"/>
      <c r="V103" s="194"/>
      <c r="W103" s="194"/>
      <c r="X103" s="194"/>
      <c r="Y103" s="194"/>
      <c r="Z103" s="194"/>
      <c r="AA103" s="37"/>
      <c r="AB103" s="37"/>
      <c r="AC103" s="194"/>
      <c r="AD103" s="194"/>
      <c r="AE103" s="194"/>
      <c r="AF103" s="194"/>
      <c r="AG103" s="194"/>
      <c r="AH103" s="194"/>
      <c r="AI103" s="194"/>
      <c r="AJ103" s="194"/>
      <c r="AK103" s="37"/>
      <c r="AL103" s="37"/>
      <c r="AM103" s="194"/>
      <c r="AN103" s="194"/>
      <c r="AO103" s="194"/>
      <c r="AP103" s="194"/>
      <c r="AQ103" s="194"/>
      <c r="AR103" s="194"/>
      <c r="AS103" s="194"/>
      <c r="AT103" s="194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</row>
    <row r="104">
      <c r="A104" s="37"/>
      <c r="B104" s="85" t="s">
        <v>188</v>
      </c>
      <c r="C104" s="86" t="s">
        <v>62</v>
      </c>
      <c r="D104" s="87"/>
      <c r="E104" s="88" t="s">
        <v>63</v>
      </c>
      <c r="F104" s="40"/>
      <c r="G104" s="41"/>
      <c r="H104" s="37"/>
      <c r="I104" s="37"/>
      <c r="J104" s="161" t="s">
        <v>64</v>
      </c>
      <c r="K104" s="87"/>
      <c r="L104" s="160" t="s">
        <v>65</v>
      </c>
      <c r="M104" s="87"/>
      <c r="N104" s="207" t="s">
        <v>66</v>
      </c>
      <c r="O104" s="160" t="s">
        <v>67</v>
      </c>
      <c r="P104" s="40"/>
      <c r="Q104" s="87"/>
      <c r="R104" s="162" t="s">
        <v>68</v>
      </c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</row>
    <row r="105">
      <c r="A105" s="37"/>
      <c r="B105" s="42"/>
      <c r="C105" s="90"/>
      <c r="D105" s="25"/>
      <c r="E105" s="90"/>
      <c r="G105" s="43"/>
      <c r="H105" s="37"/>
      <c r="I105" s="37"/>
      <c r="J105" s="42"/>
      <c r="K105" s="25"/>
      <c r="L105" s="90"/>
      <c r="M105" s="25"/>
      <c r="N105" s="90"/>
      <c r="O105" s="90"/>
      <c r="Q105" s="25"/>
      <c r="R105" s="91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</row>
    <row r="106">
      <c r="A106" s="37"/>
      <c r="B106" s="92"/>
      <c r="C106" s="27"/>
      <c r="D106" s="28"/>
      <c r="E106" s="27"/>
      <c r="F106" s="22"/>
      <c r="G106" s="93"/>
      <c r="H106" s="37"/>
      <c r="I106" s="37"/>
      <c r="J106" s="92"/>
      <c r="K106" s="28"/>
      <c r="L106" s="27"/>
      <c r="M106" s="28"/>
      <c r="N106" s="27"/>
      <c r="O106" s="27"/>
      <c r="P106" s="22"/>
      <c r="Q106" s="28"/>
      <c r="R106" s="94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</row>
    <row r="107">
      <c r="A107" s="37"/>
      <c r="B107" s="95" t="s">
        <v>167</v>
      </c>
      <c r="C107" s="96" t="s">
        <v>168</v>
      </c>
      <c r="D107" s="25"/>
      <c r="E107" s="102"/>
      <c r="G107" s="43"/>
      <c r="H107" s="37"/>
      <c r="I107" s="37"/>
      <c r="J107" s="208">
        <v>2.0</v>
      </c>
      <c r="K107" s="25"/>
      <c r="L107" s="209">
        <v>45634.0</v>
      </c>
      <c r="N107" s="210"/>
      <c r="O107" s="100" t="s">
        <v>124</v>
      </c>
      <c r="Q107" s="25"/>
      <c r="R107" s="223">
        <v>3101.0</v>
      </c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</row>
    <row r="108">
      <c r="A108" s="37"/>
      <c r="B108" s="103" t="s">
        <v>189</v>
      </c>
      <c r="C108" s="104" t="s">
        <v>96</v>
      </c>
      <c r="D108" s="25"/>
      <c r="E108" s="105"/>
      <c r="G108" s="43"/>
      <c r="H108" s="37"/>
      <c r="I108" s="37"/>
      <c r="J108" s="219" t="s">
        <v>72</v>
      </c>
      <c r="K108" s="25"/>
      <c r="L108" s="213">
        <v>45634.0</v>
      </c>
      <c r="N108" s="214"/>
      <c r="O108" s="123" t="s">
        <v>97</v>
      </c>
      <c r="Q108" s="25"/>
      <c r="R108" s="221">
        <v>3101.0</v>
      </c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</row>
    <row r="109">
      <c r="A109" s="37"/>
      <c r="B109" s="95" t="s">
        <v>190</v>
      </c>
      <c r="C109" s="96" t="s">
        <v>94</v>
      </c>
      <c r="D109" s="25"/>
      <c r="E109" s="100"/>
      <c r="G109" s="43"/>
      <c r="H109" s="37"/>
      <c r="I109" s="37"/>
      <c r="J109" s="208" t="s">
        <v>78</v>
      </c>
      <c r="K109" s="25"/>
      <c r="L109" s="222" t="s">
        <v>134</v>
      </c>
      <c r="N109" s="210"/>
      <c r="O109" s="100" t="s">
        <v>97</v>
      </c>
      <c r="Q109" s="25"/>
      <c r="R109" s="261">
        <v>3001.0</v>
      </c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</row>
    <row r="110">
      <c r="A110" s="37"/>
      <c r="B110" s="103" t="s">
        <v>191</v>
      </c>
      <c r="C110" s="104" t="s">
        <v>118</v>
      </c>
      <c r="D110" s="25"/>
      <c r="E110" s="123"/>
      <c r="G110" s="43"/>
      <c r="H110" s="37"/>
      <c r="I110" s="37"/>
      <c r="J110" s="212">
        <v>2.0</v>
      </c>
      <c r="K110" s="25"/>
      <c r="L110" s="213">
        <v>45573.0</v>
      </c>
      <c r="N110" s="214"/>
      <c r="O110" s="215"/>
      <c r="Q110" s="25"/>
      <c r="R110" s="221">
        <v>3001.0</v>
      </c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</row>
    <row r="111">
      <c r="A111" s="37"/>
      <c r="B111" s="95" t="s">
        <v>192</v>
      </c>
      <c r="C111" s="96" t="s">
        <v>94</v>
      </c>
      <c r="D111" s="25"/>
      <c r="E111" s="100"/>
      <c r="G111" s="43"/>
      <c r="H111" s="37"/>
      <c r="I111" s="37"/>
      <c r="J111" s="208">
        <v>2.0</v>
      </c>
      <c r="K111" s="25"/>
      <c r="L111" s="209">
        <v>45510.0</v>
      </c>
      <c r="N111" s="237"/>
      <c r="O111" s="218"/>
      <c r="Q111" s="25"/>
      <c r="R111" s="261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</row>
    <row r="112">
      <c r="A112" s="37"/>
      <c r="B112" s="103" t="s">
        <v>115</v>
      </c>
      <c r="C112" s="104" t="s">
        <v>116</v>
      </c>
      <c r="D112" s="25"/>
      <c r="E112" s="105"/>
      <c r="G112" s="43"/>
      <c r="H112" s="37"/>
      <c r="I112" s="37"/>
      <c r="J112" s="219" t="s">
        <v>113</v>
      </c>
      <c r="K112" s="25"/>
      <c r="L112" s="250">
        <v>45999.0</v>
      </c>
      <c r="N112" s="248"/>
      <c r="O112" s="123" t="s">
        <v>97</v>
      </c>
      <c r="Q112" s="25"/>
      <c r="R112" s="243">
        <v>3202.0</v>
      </c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</row>
    <row r="113">
      <c r="A113" s="37"/>
      <c r="B113" s="159"/>
      <c r="C113" s="115"/>
      <c r="D113" s="25"/>
      <c r="E113" s="119"/>
      <c r="G113" s="43"/>
      <c r="H113" s="37"/>
      <c r="I113" s="37"/>
      <c r="J113" s="238"/>
      <c r="K113" s="25"/>
      <c r="L113" s="239"/>
      <c r="N113" s="240"/>
      <c r="O113" s="241"/>
      <c r="Q113" s="25"/>
      <c r="R113" s="249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</row>
    <row r="114">
      <c r="A114" s="37"/>
      <c r="B114" s="146"/>
      <c r="C114" s="104"/>
      <c r="D114" s="25"/>
      <c r="E114" s="105"/>
      <c r="G114" s="43"/>
      <c r="H114" s="37"/>
      <c r="I114" s="37"/>
      <c r="J114" s="224"/>
      <c r="K114" s="25"/>
      <c r="L114" s="263"/>
      <c r="N114" s="226"/>
      <c r="O114" s="215"/>
      <c r="Q114" s="25"/>
      <c r="R114" s="216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</row>
    <row r="115">
      <c r="A115" s="37"/>
      <c r="B115" s="144"/>
      <c r="C115" s="96"/>
      <c r="D115" s="25"/>
      <c r="E115" s="102"/>
      <c r="G115" s="43"/>
      <c r="H115" s="37"/>
      <c r="I115" s="37"/>
      <c r="J115" s="227"/>
      <c r="K115" s="25"/>
      <c r="L115" s="228"/>
      <c r="N115" s="229"/>
      <c r="O115" s="218"/>
      <c r="Q115" s="25"/>
      <c r="R115" s="211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</row>
    <row r="116">
      <c r="A116" s="37"/>
      <c r="B116" s="146"/>
      <c r="C116" s="104"/>
      <c r="D116" s="25"/>
      <c r="E116" s="105"/>
      <c r="G116" s="43"/>
      <c r="H116" s="37"/>
      <c r="I116" s="37"/>
      <c r="J116" s="224"/>
      <c r="K116" s="25"/>
      <c r="L116" s="225"/>
      <c r="N116" s="226"/>
      <c r="O116" s="215"/>
      <c r="Q116" s="25"/>
      <c r="R116" s="216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</row>
    <row r="117">
      <c r="A117" s="37"/>
      <c r="B117" s="144"/>
      <c r="C117" s="96"/>
      <c r="D117" s="25"/>
      <c r="E117" s="102"/>
      <c r="G117" s="43"/>
      <c r="H117" s="37"/>
      <c r="I117" s="37"/>
      <c r="J117" s="227"/>
      <c r="K117" s="25"/>
      <c r="L117" s="228"/>
      <c r="N117" s="229"/>
      <c r="O117" s="218"/>
      <c r="Q117" s="25"/>
      <c r="R117" s="211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</row>
    <row r="118">
      <c r="A118" s="37"/>
      <c r="B118" s="146"/>
      <c r="C118" s="104"/>
      <c r="D118" s="25"/>
      <c r="E118" s="105"/>
      <c r="G118" s="43"/>
      <c r="H118" s="37"/>
      <c r="I118" s="37"/>
      <c r="J118" s="224"/>
      <c r="K118" s="25"/>
      <c r="L118" s="225"/>
      <c r="N118" s="226"/>
      <c r="O118" s="215"/>
      <c r="Q118" s="25"/>
      <c r="R118" s="216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</row>
    <row r="119">
      <c r="A119" s="37"/>
      <c r="B119" s="147"/>
      <c r="C119" s="148"/>
      <c r="D119" s="67"/>
      <c r="E119" s="149"/>
      <c r="F119" s="45"/>
      <c r="G119" s="46"/>
      <c r="H119" s="37"/>
      <c r="I119" s="37"/>
      <c r="J119" s="230"/>
      <c r="K119" s="67"/>
      <c r="L119" s="231"/>
      <c r="M119" s="45"/>
      <c r="N119" s="232"/>
      <c r="O119" s="233"/>
      <c r="P119" s="45"/>
      <c r="Q119" s="67"/>
      <c r="R119" s="234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</row>
    <row r="120">
      <c r="A120" s="37"/>
      <c r="B120" s="194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</row>
    <row r="121">
      <c r="A121" s="37"/>
      <c r="B121" s="194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</row>
    <row r="122">
      <c r="A122" s="37"/>
      <c r="B122" s="194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</row>
    <row r="123">
      <c r="A123" s="37"/>
      <c r="B123" s="194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</row>
    <row r="124">
      <c r="A124" s="37"/>
      <c r="B124" s="194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</row>
    <row r="125">
      <c r="A125" s="37"/>
      <c r="B125" s="194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</row>
    <row r="126">
      <c r="A126" s="37"/>
      <c r="B126" s="194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</row>
    <row r="127">
      <c r="A127" s="37"/>
      <c r="B127" s="194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</row>
    <row r="128">
      <c r="A128" s="37"/>
      <c r="B128" s="194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</row>
    <row r="129">
      <c r="A129" s="37"/>
      <c r="B129" s="194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</row>
    <row r="130">
      <c r="A130" s="37"/>
      <c r="B130" s="194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</row>
    <row r="131">
      <c r="A131" s="37"/>
      <c r="B131" s="194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</row>
    <row r="132">
      <c r="A132" s="37"/>
      <c r="B132" s="194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</row>
    <row r="133">
      <c r="A133" s="37"/>
      <c r="B133" s="194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</row>
    <row r="134">
      <c r="A134" s="37"/>
      <c r="B134" s="194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</row>
    <row r="135">
      <c r="A135" s="37"/>
      <c r="B135" s="194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</row>
    <row r="136">
      <c r="A136" s="37"/>
      <c r="B136" s="194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</row>
    <row r="137">
      <c r="A137" s="37"/>
      <c r="B137" s="194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</row>
    <row r="138">
      <c r="A138" s="37"/>
      <c r="B138" s="37"/>
      <c r="C138" s="37"/>
      <c r="D138" s="37"/>
      <c r="E138" s="37"/>
      <c r="F138" s="37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4"/>
      <c r="BT138" s="194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  <c r="DJ138" s="194"/>
      <c r="DK138" s="194"/>
      <c r="DL138" s="194"/>
      <c r="DM138" s="194"/>
      <c r="DN138" s="194"/>
      <c r="DO138" s="194"/>
      <c r="DP138" s="194"/>
      <c r="DQ138" s="194"/>
      <c r="DR138" s="194"/>
      <c r="DS138" s="194"/>
      <c r="DT138" s="194"/>
      <c r="DU138" s="194"/>
      <c r="DV138" s="194"/>
      <c r="DW138" s="194"/>
      <c r="DX138" s="194"/>
      <c r="DY138" s="194"/>
    </row>
    <row r="139">
      <c r="A139" s="37"/>
      <c r="B139" s="37"/>
      <c r="C139" s="37"/>
      <c r="D139" s="37"/>
      <c r="E139" s="37"/>
      <c r="F139" s="37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  <c r="DJ139" s="194"/>
      <c r="DK139" s="194"/>
      <c r="DL139" s="194"/>
      <c r="DM139" s="194"/>
      <c r="DN139" s="194"/>
      <c r="DO139" s="194"/>
      <c r="DP139" s="194"/>
      <c r="DQ139" s="194"/>
      <c r="DR139" s="194"/>
      <c r="DS139" s="194"/>
      <c r="DT139" s="194"/>
      <c r="DU139" s="194"/>
      <c r="DV139" s="194"/>
      <c r="DW139" s="194"/>
      <c r="DX139" s="194"/>
      <c r="DY139" s="194"/>
    </row>
    <row r="140">
      <c r="A140" s="37"/>
      <c r="B140" s="37"/>
      <c r="C140" s="37"/>
      <c r="D140" s="37"/>
      <c r="E140" s="37"/>
      <c r="F140" s="37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  <c r="DJ140" s="194"/>
      <c r="DK140" s="194"/>
      <c r="DL140" s="194"/>
      <c r="DM140" s="194"/>
      <c r="DN140" s="194"/>
      <c r="DO140" s="194"/>
      <c r="DP140" s="194"/>
      <c r="DQ140" s="194"/>
      <c r="DR140" s="194"/>
      <c r="DS140" s="194"/>
      <c r="DT140" s="194"/>
      <c r="DU140" s="194"/>
      <c r="DV140" s="194"/>
      <c r="DW140" s="194"/>
      <c r="DX140" s="194"/>
      <c r="DY140" s="194"/>
    </row>
    <row r="141">
      <c r="A141" s="37"/>
      <c r="B141" s="37"/>
      <c r="C141" s="37"/>
      <c r="D141" s="37"/>
      <c r="E141" s="37"/>
      <c r="F141" s="37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  <c r="DJ141" s="194"/>
      <c r="DK141" s="194"/>
      <c r="DL141" s="194"/>
      <c r="DM141" s="194"/>
      <c r="DN141" s="194"/>
      <c r="DO141" s="194"/>
      <c r="DP141" s="194"/>
      <c r="DQ141" s="194"/>
      <c r="DR141" s="194"/>
      <c r="DS141" s="194"/>
      <c r="DT141" s="194"/>
      <c r="DU141" s="194"/>
      <c r="DV141" s="194"/>
      <c r="DW141" s="194"/>
      <c r="DX141" s="194"/>
      <c r="DY141" s="194"/>
    </row>
    <row r="142">
      <c r="A142" s="37"/>
      <c r="B142" s="37"/>
      <c r="C142" s="37"/>
      <c r="D142" s="37"/>
      <c r="E142" s="37"/>
      <c r="F142" s="37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  <c r="DJ142" s="194"/>
      <c r="DK142" s="194"/>
      <c r="DL142" s="194"/>
      <c r="DM142" s="194"/>
      <c r="DN142" s="194"/>
      <c r="DO142" s="194"/>
      <c r="DP142" s="194"/>
      <c r="DQ142" s="194"/>
      <c r="DR142" s="194"/>
      <c r="DS142" s="194"/>
      <c r="DT142" s="194"/>
      <c r="DU142" s="194"/>
      <c r="DV142" s="194"/>
      <c r="DW142" s="194"/>
      <c r="DX142" s="194"/>
      <c r="DY142" s="194"/>
    </row>
    <row r="143">
      <c r="A143" s="37"/>
      <c r="B143" s="37"/>
      <c r="C143" s="37"/>
      <c r="D143" s="37"/>
      <c r="E143" s="37"/>
      <c r="F143" s="37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  <c r="DJ143" s="194"/>
      <c r="DK143" s="194"/>
      <c r="DL143" s="194"/>
      <c r="DM143" s="194"/>
      <c r="DN143" s="194"/>
      <c r="DO143" s="194"/>
      <c r="DP143" s="194"/>
      <c r="DQ143" s="194"/>
      <c r="DR143" s="194"/>
      <c r="DS143" s="194"/>
      <c r="DT143" s="194"/>
      <c r="DU143" s="194"/>
      <c r="DV143" s="194"/>
      <c r="DW143" s="194"/>
      <c r="DX143" s="194"/>
      <c r="DY143" s="194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</row>
  </sheetData>
  <mergeCells count="445">
    <mergeCell ref="L14:M16"/>
    <mergeCell ref="N14:N16"/>
    <mergeCell ref="O14:Q16"/>
    <mergeCell ref="R14:R16"/>
    <mergeCell ref="B1:G13"/>
    <mergeCell ref="I1:AC8"/>
    <mergeCell ref="K11:O11"/>
    <mergeCell ref="B14:B16"/>
    <mergeCell ref="C14:D16"/>
    <mergeCell ref="E14:G16"/>
    <mergeCell ref="J14:K16"/>
    <mergeCell ref="C17:D17"/>
    <mergeCell ref="E17:G17"/>
    <mergeCell ref="J17:K17"/>
    <mergeCell ref="L17:M17"/>
    <mergeCell ref="O17:Q17"/>
    <mergeCell ref="E18:G18"/>
    <mergeCell ref="O18:Q18"/>
    <mergeCell ref="J20:K20"/>
    <mergeCell ref="J21:K21"/>
    <mergeCell ref="L21:M21"/>
    <mergeCell ref="J18:K18"/>
    <mergeCell ref="L18:M18"/>
    <mergeCell ref="J19:K19"/>
    <mergeCell ref="L19:M19"/>
    <mergeCell ref="O19:Q19"/>
    <mergeCell ref="L20:M20"/>
    <mergeCell ref="O20:Q20"/>
    <mergeCell ref="O21:Q21"/>
    <mergeCell ref="C22:D22"/>
    <mergeCell ref="E22:G22"/>
    <mergeCell ref="J22:K22"/>
    <mergeCell ref="L22:M22"/>
    <mergeCell ref="O22:Q22"/>
    <mergeCell ref="J25:K25"/>
    <mergeCell ref="L25:M25"/>
    <mergeCell ref="J26:K26"/>
    <mergeCell ref="L26:M26"/>
    <mergeCell ref="O26:Q26"/>
    <mergeCell ref="L27:M27"/>
    <mergeCell ref="O27:Q27"/>
    <mergeCell ref="O28:Q28"/>
    <mergeCell ref="J27:K27"/>
    <mergeCell ref="J28:K28"/>
    <mergeCell ref="L28:M28"/>
    <mergeCell ref="J30:K30"/>
    <mergeCell ref="L30:M30"/>
    <mergeCell ref="J32:K34"/>
    <mergeCell ref="L32:M34"/>
    <mergeCell ref="R32:R34"/>
    <mergeCell ref="J36:K36"/>
    <mergeCell ref="J37:K37"/>
    <mergeCell ref="L37:M37"/>
    <mergeCell ref="N32:N34"/>
    <mergeCell ref="O32:Q34"/>
    <mergeCell ref="J35:K35"/>
    <mergeCell ref="L35:M35"/>
    <mergeCell ref="O35:Q35"/>
    <mergeCell ref="L36:M36"/>
    <mergeCell ref="O36:Q36"/>
    <mergeCell ref="O37:Q37"/>
    <mergeCell ref="J39:K39"/>
    <mergeCell ref="J40:K40"/>
    <mergeCell ref="L40:M40"/>
    <mergeCell ref="O40:Q40"/>
    <mergeCell ref="E37:G37"/>
    <mergeCell ref="E38:G38"/>
    <mergeCell ref="J38:K38"/>
    <mergeCell ref="L38:M38"/>
    <mergeCell ref="O38:Q38"/>
    <mergeCell ref="L39:M39"/>
    <mergeCell ref="O39:Q39"/>
    <mergeCell ref="C30:D30"/>
    <mergeCell ref="B32:B34"/>
    <mergeCell ref="C32:D34"/>
    <mergeCell ref="E32:G34"/>
    <mergeCell ref="C35:D35"/>
    <mergeCell ref="E35:G35"/>
    <mergeCell ref="E36:G36"/>
    <mergeCell ref="C36:D36"/>
    <mergeCell ref="C37:D37"/>
    <mergeCell ref="C38:D38"/>
    <mergeCell ref="C39:D39"/>
    <mergeCell ref="E39:G39"/>
    <mergeCell ref="C40:D40"/>
    <mergeCell ref="E40:G40"/>
    <mergeCell ref="J43:K43"/>
    <mergeCell ref="L43:M43"/>
    <mergeCell ref="C42:D42"/>
    <mergeCell ref="E42:G42"/>
    <mergeCell ref="J42:K42"/>
    <mergeCell ref="L42:M42"/>
    <mergeCell ref="O42:Q42"/>
    <mergeCell ref="E43:G43"/>
    <mergeCell ref="O43:Q43"/>
    <mergeCell ref="B50:B52"/>
    <mergeCell ref="E50:G52"/>
    <mergeCell ref="J50:K52"/>
    <mergeCell ref="L50:M52"/>
    <mergeCell ref="N50:N52"/>
    <mergeCell ref="R50:R52"/>
    <mergeCell ref="L53:M53"/>
    <mergeCell ref="C50:D52"/>
    <mergeCell ref="C53:D53"/>
    <mergeCell ref="E53:G53"/>
    <mergeCell ref="C54:D54"/>
    <mergeCell ref="E54:G54"/>
    <mergeCell ref="C55:D55"/>
    <mergeCell ref="E55:G55"/>
    <mergeCell ref="O94:Q94"/>
    <mergeCell ref="O95:Q95"/>
    <mergeCell ref="J93:K93"/>
    <mergeCell ref="L93:M93"/>
    <mergeCell ref="O93:Q93"/>
    <mergeCell ref="J94:K94"/>
    <mergeCell ref="L94:M94"/>
    <mergeCell ref="J95:K95"/>
    <mergeCell ref="L95:M95"/>
    <mergeCell ref="J72:K72"/>
    <mergeCell ref="L72:M72"/>
    <mergeCell ref="J73:K73"/>
    <mergeCell ref="L73:M73"/>
    <mergeCell ref="O73:Q73"/>
    <mergeCell ref="L74:M74"/>
    <mergeCell ref="O74:Q74"/>
    <mergeCell ref="J74:K74"/>
    <mergeCell ref="J75:K75"/>
    <mergeCell ref="L75:M75"/>
    <mergeCell ref="J77:K77"/>
    <mergeCell ref="L77:M77"/>
    <mergeCell ref="J78:K78"/>
    <mergeCell ref="L78:M78"/>
    <mergeCell ref="J79:K79"/>
    <mergeCell ref="L79:M79"/>
    <mergeCell ref="J80:K80"/>
    <mergeCell ref="L80:M80"/>
    <mergeCell ref="J81:K81"/>
    <mergeCell ref="L81:M81"/>
    <mergeCell ref="L82:M82"/>
    <mergeCell ref="L83:M83"/>
    <mergeCell ref="O83:Q83"/>
    <mergeCell ref="O86:Q88"/>
    <mergeCell ref="R86:R88"/>
    <mergeCell ref="O89:Q89"/>
    <mergeCell ref="O75:Q75"/>
    <mergeCell ref="O77:Q77"/>
    <mergeCell ref="O78:Q78"/>
    <mergeCell ref="O79:Q79"/>
    <mergeCell ref="O80:Q80"/>
    <mergeCell ref="O81:Q81"/>
    <mergeCell ref="O82:Q82"/>
    <mergeCell ref="J82:K82"/>
    <mergeCell ref="J83:K83"/>
    <mergeCell ref="J86:K88"/>
    <mergeCell ref="L86:M88"/>
    <mergeCell ref="N86:N88"/>
    <mergeCell ref="J89:K89"/>
    <mergeCell ref="L89:M89"/>
    <mergeCell ref="J96:K96"/>
    <mergeCell ref="L96:M96"/>
    <mergeCell ref="O96:Q96"/>
    <mergeCell ref="J113:K113"/>
    <mergeCell ref="J114:K114"/>
    <mergeCell ref="J110:K110"/>
    <mergeCell ref="L110:M110"/>
    <mergeCell ref="J111:K111"/>
    <mergeCell ref="L111:M111"/>
    <mergeCell ref="J112:K112"/>
    <mergeCell ref="L112:M112"/>
    <mergeCell ref="L113:M113"/>
    <mergeCell ref="L114:M114"/>
    <mergeCell ref="O91:Q91"/>
    <mergeCell ref="O92:Q92"/>
    <mergeCell ref="J90:K90"/>
    <mergeCell ref="L90:M90"/>
    <mergeCell ref="O90:Q90"/>
    <mergeCell ref="J91:K91"/>
    <mergeCell ref="L91:M91"/>
    <mergeCell ref="J92:K92"/>
    <mergeCell ref="L92:M92"/>
    <mergeCell ref="O98:Q98"/>
    <mergeCell ref="O99:Q99"/>
    <mergeCell ref="O100:Q100"/>
    <mergeCell ref="O101:Q101"/>
    <mergeCell ref="O104:Q106"/>
    <mergeCell ref="R104:R106"/>
    <mergeCell ref="J97:K97"/>
    <mergeCell ref="L97:M97"/>
    <mergeCell ref="O97:Q97"/>
    <mergeCell ref="J98:K98"/>
    <mergeCell ref="L98:M98"/>
    <mergeCell ref="J99:K99"/>
    <mergeCell ref="L99:M99"/>
    <mergeCell ref="J100:K100"/>
    <mergeCell ref="L100:M100"/>
    <mergeCell ref="J101:K101"/>
    <mergeCell ref="L101:M101"/>
    <mergeCell ref="J104:K106"/>
    <mergeCell ref="L104:M106"/>
    <mergeCell ref="N104:N106"/>
    <mergeCell ref="O108:Q108"/>
    <mergeCell ref="O109:Q109"/>
    <mergeCell ref="O110:Q110"/>
    <mergeCell ref="O111:Q111"/>
    <mergeCell ref="O112:Q112"/>
    <mergeCell ref="O113:Q113"/>
    <mergeCell ref="O114:Q114"/>
    <mergeCell ref="J107:K107"/>
    <mergeCell ref="L107:M107"/>
    <mergeCell ref="O107:Q107"/>
    <mergeCell ref="J108:K108"/>
    <mergeCell ref="L108:M108"/>
    <mergeCell ref="J109:K109"/>
    <mergeCell ref="L109:M109"/>
    <mergeCell ref="C23:D23"/>
    <mergeCell ref="E23:G23"/>
    <mergeCell ref="J23:K23"/>
    <mergeCell ref="L23:M23"/>
    <mergeCell ref="O23:Q23"/>
    <mergeCell ref="C18:D18"/>
    <mergeCell ref="C19:D19"/>
    <mergeCell ref="E19:G19"/>
    <mergeCell ref="C20:D20"/>
    <mergeCell ref="E20:G20"/>
    <mergeCell ref="C21:D21"/>
    <mergeCell ref="E21:G21"/>
    <mergeCell ref="C24:D24"/>
    <mergeCell ref="E24:G24"/>
    <mergeCell ref="J24:K24"/>
    <mergeCell ref="L24:M24"/>
    <mergeCell ref="O24:Q24"/>
    <mergeCell ref="E25:G25"/>
    <mergeCell ref="O25:Q25"/>
    <mergeCell ref="C29:D29"/>
    <mergeCell ref="E29:G29"/>
    <mergeCell ref="J29:K29"/>
    <mergeCell ref="L29:M29"/>
    <mergeCell ref="O29:Q29"/>
    <mergeCell ref="O30:Q30"/>
    <mergeCell ref="C25:D25"/>
    <mergeCell ref="C26:D26"/>
    <mergeCell ref="E26:G26"/>
    <mergeCell ref="C27:D27"/>
    <mergeCell ref="E27:G27"/>
    <mergeCell ref="C28:D28"/>
    <mergeCell ref="E28:G28"/>
    <mergeCell ref="C41:D41"/>
    <mergeCell ref="E41:G41"/>
    <mergeCell ref="J41:K41"/>
    <mergeCell ref="L41:M41"/>
    <mergeCell ref="O41:Q41"/>
    <mergeCell ref="O44:Q44"/>
    <mergeCell ref="O45:Q45"/>
    <mergeCell ref="O46:Q46"/>
    <mergeCell ref="O47:Q47"/>
    <mergeCell ref="O57:Q57"/>
    <mergeCell ref="O58:Q58"/>
    <mergeCell ref="C57:D57"/>
    <mergeCell ref="E57:G57"/>
    <mergeCell ref="L57:M57"/>
    <mergeCell ref="C58:D58"/>
    <mergeCell ref="E58:G58"/>
    <mergeCell ref="J58:K58"/>
    <mergeCell ref="L58:M58"/>
    <mergeCell ref="J60:K60"/>
    <mergeCell ref="L60:M60"/>
    <mergeCell ref="C59:D59"/>
    <mergeCell ref="E59:G59"/>
    <mergeCell ref="J59:K59"/>
    <mergeCell ref="L59:M59"/>
    <mergeCell ref="O59:Q59"/>
    <mergeCell ref="E60:G60"/>
    <mergeCell ref="O60:Q60"/>
    <mergeCell ref="J44:K44"/>
    <mergeCell ref="J45:K45"/>
    <mergeCell ref="J46:K46"/>
    <mergeCell ref="J53:K53"/>
    <mergeCell ref="J54:K54"/>
    <mergeCell ref="J55:K55"/>
    <mergeCell ref="J56:K56"/>
    <mergeCell ref="J57:K57"/>
    <mergeCell ref="C43:D43"/>
    <mergeCell ref="C44:D44"/>
    <mergeCell ref="E44:G44"/>
    <mergeCell ref="L44:M44"/>
    <mergeCell ref="C45:D45"/>
    <mergeCell ref="E45:G45"/>
    <mergeCell ref="L45:M45"/>
    <mergeCell ref="C46:D46"/>
    <mergeCell ref="E46:G46"/>
    <mergeCell ref="L46:M46"/>
    <mergeCell ref="C47:D47"/>
    <mergeCell ref="E47:G47"/>
    <mergeCell ref="J47:K47"/>
    <mergeCell ref="L47:M47"/>
    <mergeCell ref="O50:Q52"/>
    <mergeCell ref="O53:Q53"/>
    <mergeCell ref="L54:M54"/>
    <mergeCell ref="O54:Q54"/>
    <mergeCell ref="L55:M55"/>
    <mergeCell ref="O55:Q55"/>
    <mergeCell ref="C56:D56"/>
    <mergeCell ref="E56:G56"/>
    <mergeCell ref="L56:M56"/>
    <mergeCell ref="O56:Q56"/>
    <mergeCell ref="O61:Q61"/>
    <mergeCell ref="O62:Q62"/>
    <mergeCell ref="O63:Q63"/>
    <mergeCell ref="O64:Q64"/>
    <mergeCell ref="O65:Q65"/>
    <mergeCell ref="J61:K61"/>
    <mergeCell ref="J62:K62"/>
    <mergeCell ref="J63:K63"/>
    <mergeCell ref="C60:D60"/>
    <mergeCell ref="C61:D61"/>
    <mergeCell ref="E61:G61"/>
    <mergeCell ref="L61:M61"/>
    <mergeCell ref="C62:D62"/>
    <mergeCell ref="E62:G62"/>
    <mergeCell ref="L62:M62"/>
    <mergeCell ref="C63:D63"/>
    <mergeCell ref="E63:G63"/>
    <mergeCell ref="L63:M63"/>
    <mergeCell ref="C64:D64"/>
    <mergeCell ref="E64:G64"/>
    <mergeCell ref="J64:K64"/>
    <mergeCell ref="L64:M64"/>
    <mergeCell ref="J68:K70"/>
    <mergeCell ref="L68:M70"/>
    <mergeCell ref="N68:N70"/>
    <mergeCell ref="O68:Q70"/>
    <mergeCell ref="R68:R70"/>
    <mergeCell ref="C65:D65"/>
    <mergeCell ref="E65:G65"/>
    <mergeCell ref="J65:K65"/>
    <mergeCell ref="L65:M65"/>
    <mergeCell ref="B68:B70"/>
    <mergeCell ref="C68:D70"/>
    <mergeCell ref="E68:G70"/>
    <mergeCell ref="C71:D71"/>
    <mergeCell ref="E71:G71"/>
    <mergeCell ref="J71:K71"/>
    <mergeCell ref="L71:M71"/>
    <mergeCell ref="O71:Q71"/>
    <mergeCell ref="E72:G72"/>
    <mergeCell ref="O72:Q72"/>
    <mergeCell ref="C76:D76"/>
    <mergeCell ref="E76:G76"/>
    <mergeCell ref="J76:K76"/>
    <mergeCell ref="L76:M76"/>
    <mergeCell ref="O76:Q76"/>
    <mergeCell ref="C97:D97"/>
    <mergeCell ref="C98:D98"/>
    <mergeCell ref="C99:D99"/>
    <mergeCell ref="C100:D100"/>
    <mergeCell ref="C101:D101"/>
    <mergeCell ref="B104:B106"/>
    <mergeCell ref="C104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J115:K115"/>
    <mergeCell ref="L115:M115"/>
    <mergeCell ref="O115:Q115"/>
    <mergeCell ref="L116:M116"/>
    <mergeCell ref="O116:Q116"/>
    <mergeCell ref="J119:K119"/>
    <mergeCell ref="L119:M119"/>
    <mergeCell ref="O119:Q119"/>
    <mergeCell ref="J116:K116"/>
    <mergeCell ref="J117:K117"/>
    <mergeCell ref="L117:M117"/>
    <mergeCell ref="O117:Q117"/>
    <mergeCell ref="J118:K118"/>
    <mergeCell ref="L118:M118"/>
    <mergeCell ref="O118:Q118"/>
    <mergeCell ref="E99:G99"/>
    <mergeCell ref="E100:G100"/>
    <mergeCell ref="E101:G101"/>
    <mergeCell ref="E104:G106"/>
    <mergeCell ref="E107:G107"/>
    <mergeCell ref="E108:G108"/>
    <mergeCell ref="E109:G109"/>
    <mergeCell ref="E110:G110"/>
    <mergeCell ref="E111:G111"/>
    <mergeCell ref="E112:G112"/>
    <mergeCell ref="E113:G113"/>
    <mergeCell ref="E114:G114"/>
    <mergeCell ref="E115:G115"/>
    <mergeCell ref="E116:G116"/>
    <mergeCell ref="C72:D72"/>
    <mergeCell ref="C73:D73"/>
    <mergeCell ref="E73:G73"/>
    <mergeCell ref="C74:D74"/>
    <mergeCell ref="E74:G74"/>
    <mergeCell ref="C75:D75"/>
    <mergeCell ref="E75:G75"/>
    <mergeCell ref="C77:D77"/>
    <mergeCell ref="E77:G77"/>
    <mergeCell ref="C78:D78"/>
    <mergeCell ref="E78:G78"/>
    <mergeCell ref="C79:D79"/>
    <mergeCell ref="E79:G79"/>
    <mergeCell ref="E80:G80"/>
    <mergeCell ref="C80:D80"/>
    <mergeCell ref="C81:D81"/>
    <mergeCell ref="C82:D82"/>
    <mergeCell ref="C83:D83"/>
    <mergeCell ref="B86:B88"/>
    <mergeCell ref="C86:D88"/>
    <mergeCell ref="C89:D89"/>
    <mergeCell ref="E81:G81"/>
    <mergeCell ref="E82:G82"/>
    <mergeCell ref="E83:G83"/>
    <mergeCell ref="E86:G88"/>
    <mergeCell ref="E89:G89"/>
    <mergeCell ref="E90:G90"/>
    <mergeCell ref="E91:G91"/>
    <mergeCell ref="C90:D90"/>
    <mergeCell ref="C91:D91"/>
    <mergeCell ref="C92:D92"/>
    <mergeCell ref="C93:D93"/>
    <mergeCell ref="C94:D94"/>
    <mergeCell ref="C95:D95"/>
    <mergeCell ref="C96:D96"/>
    <mergeCell ref="E92:G92"/>
    <mergeCell ref="E93:G93"/>
    <mergeCell ref="E94:G94"/>
    <mergeCell ref="E95:G95"/>
    <mergeCell ref="E96:G96"/>
    <mergeCell ref="E97:G97"/>
    <mergeCell ref="E98:G98"/>
    <mergeCell ref="C116:D116"/>
    <mergeCell ref="C117:D117"/>
    <mergeCell ref="E117:G117"/>
    <mergeCell ref="C118:D118"/>
    <mergeCell ref="E118:G118"/>
    <mergeCell ref="C119:D119"/>
    <mergeCell ref="E119:G119"/>
  </mergeCells>
  <dataValidations>
    <dataValidation type="list" allowBlank="1" sqref="C17:C29 C35:C47 C53:C65 C71:C83 C89:C101 C107:C119">
      <formula1>"CADENA POSTERIOR,HAZ CLAVICULAR,HAZ ESTERNOCOSTAL,ESPALDA ALTA,DORSAL,DELT.ANTERIOR,DELT.LATERAL,DELT.POSTERIOR,TRÍCEPS,BÍCEPS,ADUCTOR,ISQUIOS,CUÁDRICEPS,GLÚTEO,GASTROGNEMIO,SÓLEO,ABDOMINALES"</formula1>
    </dataValidation>
  </dataValidations>
  <hyperlinks>
    <hyperlink r:id="rId1" ref="B17"/>
    <hyperlink r:id="rId2" ref="B18"/>
    <hyperlink r:id="rId3" ref="B19"/>
    <hyperlink r:id="rId4" ref="B20"/>
    <hyperlink r:id="rId5" ref="B21"/>
    <hyperlink r:id="rId6" ref="B22"/>
    <hyperlink r:id="rId7" ref="B23"/>
    <hyperlink r:id="rId8" ref="B35"/>
    <hyperlink r:id="rId9" ref="B36"/>
    <hyperlink r:id="rId10" ref="B37"/>
    <hyperlink r:id="rId11" ref="B38"/>
    <hyperlink r:id="rId12" ref="B39"/>
    <hyperlink r:id="rId13" ref="B40"/>
    <hyperlink r:id="rId14" ref="B41"/>
    <hyperlink r:id="rId15" ref="B53"/>
    <hyperlink r:id="rId16" ref="B54"/>
    <hyperlink r:id="rId17" ref="B55"/>
    <hyperlink r:id="rId18" ref="B56"/>
    <hyperlink r:id="rId19" ref="B57"/>
    <hyperlink r:id="rId20" ref="B58"/>
    <hyperlink r:id="rId21" ref="B71"/>
    <hyperlink r:id="rId22" ref="B72"/>
    <hyperlink r:id="rId23" ref="B73"/>
    <hyperlink r:id="rId24" ref="B74"/>
    <hyperlink r:id="rId25" ref="B75"/>
    <hyperlink r:id="rId26" ref="B76"/>
    <hyperlink r:id="rId27" ref="B77"/>
    <hyperlink r:id="rId28" ref="B89"/>
    <hyperlink r:id="rId29" ref="B90"/>
    <hyperlink r:id="rId30" ref="B91"/>
    <hyperlink r:id="rId31" ref="B92"/>
    <hyperlink r:id="rId32" ref="B93"/>
    <hyperlink r:id="rId33" ref="B94"/>
    <hyperlink r:id="rId34" ref="B95"/>
    <hyperlink r:id="rId35" ref="B107"/>
    <hyperlink r:id="rId36" ref="B108"/>
    <hyperlink r:id="rId37" ref="B109"/>
    <hyperlink r:id="rId38" ref="B110"/>
    <hyperlink r:id="rId39" ref="B111"/>
    <hyperlink r:id="rId40" ref="B112"/>
  </hyperlinks>
  <drawing r:id="rId4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20" max="20" width="18.88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5"/>
      <c r="AF1" s="265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  <c r="W2" s="266"/>
      <c r="X2" s="266"/>
      <c r="Y2" s="266"/>
      <c r="Z2" s="266"/>
      <c r="AA2" s="265"/>
      <c r="AB2" s="265"/>
      <c r="AC2" s="265"/>
      <c r="AD2" s="265"/>
      <c r="AE2" s="265"/>
      <c r="AF2" s="265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  <c r="W3" s="266"/>
      <c r="X3" s="266"/>
      <c r="Y3" s="266"/>
      <c r="Z3" s="266"/>
      <c r="AA3" s="265"/>
      <c r="AB3" s="265"/>
      <c r="AC3" s="265"/>
      <c r="AD3" s="265"/>
      <c r="AE3" s="265"/>
      <c r="AF3" s="265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  <c r="W4" s="266"/>
      <c r="X4" s="266"/>
      <c r="Y4" s="266"/>
      <c r="Z4" s="266"/>
      <c r="AA4" s="265"/>
      <c r="AB4" s="265"/>
      <c r="AC4" s="265"/>
      <c r="AD4" s="265"/>
      <c r="AE4" s="265"/>
      <c r="AF4" s="37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  <c r="W5" s="266"/>
      <c r="X5" s="266"/>
      <c r="Y5" s="266"/>
      <c r="Z5" s="266"/>
      <c r="AA5" s="265"/>
      <c r="AB5" s="264"/>
      <c r="AC5" s="264"/>
      <c r="AD5" s="264"/>
      <c r="AE5" s="264"/>
      <c r="AF5" s="37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  <c r="W6" s="266"/>
      <c r="X6" s="266"/>
      <c r="Y6" s="266"/>
      <c r="Z6" s="266"/>
      <c r="AA6" s="265"/>
      <c r="AB6" s="264"/>
      <c r="AC6" s="264"/>
      <c r="AD6" s="264"/>
      <c r="AE6" s="264"/>
      <c r="AF6" s="37"/>
    </row>
    <row r="7">
      <c r="C7" s="281" t="s">
        <v>202</v>
      </c>
      <c r="D7" s="282"/>
      <c r="E7" s="283">
        <v>9.0</v>
      </c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85" t="s">
        <v>203</v>
      </c>
      <c r="W7" s="268"/>
      <c r="X7" s="268"/>
      <c r="Y7" s="57"/>
      <c r="Z7" s="286"/>
      <c r="AA7" s="57"/>
      <c r="AB7" s="264"/>
      <c r="AC7" s="264"/>
      <c r="AD7" s="264"/>
      <c r="AE7" s="264"/>
      <c r="AF7" s="37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64"/>
      <c r="Y8" s="63"/>
      <c r="Z8" s="64"/>
      <c r="AA8" s="63"/>
      <c r="AB8" s="264"/>
      <c r="AC8" s="264"/>
      <c r="AD8" s="264"/>
      <c r="AE8" s="264"/>
      <c r="AF8" s="265"/>
    </row>
    <row r="9">
      <c r="A9" s="264"/>
      <c r="B9" s="265"/>
      <c r="C9" s="281" t="s">
        <v>205</v>
      </c>
      <c r="D9" s="282"/>
      <c r="E9" s="283">
        <v>10.0</v>
      </c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64"/>
      <c r="Y9" s="63"/>
      <c r="Z9" s="64"/>
      <c r="AA9" s="63"/>
      <c r="AB9" s="290"/>
      <c r="AC9" s="290"/>
      <c r="AD9" s="290"/>
      <c r="AE9" s="290"/>
      <c r="AF9" s="265"/>
    </row>
    <row r="10">
      <c r="A10" s="264"/>
      <c r="B10" s="265"/>
      <c r="C10" s="287" t="s">
        <v>206</v>
      </c>
      <c r="D10" s="282"/>
      <c r="E10" s="288">
        <v>6.0</v>
      </c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75"/>
      <c r="W10" s="276"/>
      <c r="X10" s="276"/>
      <c r="Y10" s="291"/>
      <c r="Z10" s="275"/>
      <c r="AA10" s="291"/>
      <c r="AB10" s="265"/>
      <c r="AC10" s="265"/>
      <c r="AD10" s="265"/>
      <c r="AE10" s="265"/>
      <c r="AF10" s="265"/>
    </row>
    <row r="11">
      <c r="A11" s="264"/>
      <c r="B11" s="265"/>
      <c r="C11" s="281" t="s">
        <v>207</v>
      </c>
      <c r="D11" s="282"/>
      <c r="E11" s="283" t="s">
        <v>208</v>
      </c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37"/>
      <c r="W11" s="37"/>
      <c r="X11" s="37"/>
      <c r="Y11" s="37"/>
      <c r="Z11" s="37"/>
      <c r="AA11" s="37"/>
      <c r="AB11" s="265"/>
      <c r="AC11" s="265"/>
      <c r="AD11" s="265"/>
      <c r="AE11" s="265"/>
      <c r="AF11" s="265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37"/>
      <c r="W12" s="37"/>
      <c r="X12" s="37"/>
      <c r="Y12" s="37"/>
      <c r="Z12" s="37"/>
      <c r="AA12" s="37"/>
      <c r="AB12" s="265"/>
      <c r="AC12" s="265"/>
      <c r="AD12" s="265"/>
      <c r="AE12" s="265"/>
      <c r="AF12" s="265"/>
    </row>
    <row r="13">
      <c r="A13" s="264"/>
      <c r="B13" s="265"/>
      <c r="C13" s="265"/>
      <c r="D13" s="292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92"/>
      <c r="T13" s="265"/>
      <c r="U13" s="265"/>
      <c r="V13" s="265"/>
      <c r="W13" s="292"/>
      <c r="X13" s="265"/>
      <c r="Y13" s="265"/>
      <c r="Z13" s="265"/>
      <c r="AA13" s="265"/>
      <c r="AB13" s="265"/>
      <c r="AC13" s="265"/>
      <c r="AD13" s="265"/>
      <c r="AE13" s="265"/>
      <c r="AF13" s="265"/>
    </row>
    <row r="14">
      <c r="A14" s="264"/>
      <c r="B14" s="265"/>
      <c r="C14" s="265"/>
      <c r="D14" s="265"/>
      <c r="E14" s="265"/>
      <c r="F14" s="265"/>
      <c r="G14" s="265"/>
      <c r="H14" s="265"/>
      <c r="I14" s="292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93"/>
    </row>
    <row r="15">
      <c r="A15" s="264"/>
      <c r="B15" s="265"/>
      <c r="C15" s="294" t="s">
        <v>209</v>
      </c>
      <c r="D15" s="295"/>
      <c r="E15" s="296" t="s">
        <v>210</v>
      </c>
      <c r="F15" s="297"/>
      <c r="G15" s="297"/>
      <c r="H15" s="297"/>
      <c r="I15" s="297"/>
      <c r="J15" s="297"/>
      <c r="K15" s="297"/>
      <c r="L15" s="297"/>
      <c r="M15" s="282"/>
      <c r="N15" s="298" t="s">
        <v>211</v>
      </c>
      <c r="O15" s="268"/>
      <c r="P15" s="57"/>
      <c r="Q15" s="286" t="s">
        <v>212</v>
      </c>
      <c r="R15" s="268"/>
      <c r="S15" s="57"/>
      <c r="T15" s="292"/>
      <c r="U15" s="265"/>
      <c r="V15" s="299" t="s">
        <v>213</v>
      </c>
      <c r="W15" s="268"/>
      <c r="X15" s="268"/>
      <c r="Y15" s="268"/>
      <c r="Z15" s="268"/>
      <c r="AA15" s="57"/>
      <c r="AB15" s="300">
        <v>9.0</v>
      </c>
      <c r="AC15" s="273"/>
      <c r="AD15" s="273"/>
      <c r="AE15" s="270"/>
      <c r="AF15" s="293"/>
    </row>
    <row r="16">
      <c r="A16" s="264"/>
      <c r="B16" s="265"/>
      <c r="C16" s="301" t="s">
        <v>214</v>
      </c>
      <c r="D16" s="302">
        <v>45824.0</v>
      </c>
      <c r="E16" s="303" t="s">
        <v>215</v>
      </c>
      <c r="F16" s="22"/>
      <c r="G16" s="28"/>
      <c r="H16" s="304" t="s">
        <v>216</v>
      </c>
      <c r="I16" s="297"/>
      <c r="J16" s="282"/>
      <c r="K16" s="304" t="s">
        <v>217</v>
      </c>
      <c r="L16" s="297"/>
      <c r="M16" s="282"/>
      <c r="N16" s="304" t="s">
        <v>218</v>
      </c>
      <c r="O16" s="297"/>
      <c r="P16" s="282"/>
      <c r="Q16" s="304" t="s">
        <v>219</v>
      </c>
      <c r="R16" s="297"/>
      <c r="S16" s="282"/>
      <c r="T16" s="265"/>
      <c r="U16" s="265"/>
      <c r="V16" s="64"/>
      <c r="AA16" s="63"/>
      <c r="AE16" s="25"/>
      <c r="AF16" s="293"/>
    </row>
    <row r="17">
      <c r="A17" s="264"/>
      <c r="B17" s="305" t="s">
        <v>220</v>
      </c>
      <c r="C17" s="306" t="s">
        <v>221</v>
      </c>
      <c r="D17" s="306" t="s">
        <v>222</v>
      </c>
      <c r="E17" s="301" t="s">
        <v>223</v>
      </c>
      <c r="F17" s="301" t="s">
        <v>224</v>
      </c>
      <c r="G17" s="301" t="s">
        <v>66</v>
      </c>
      <c r="H17" s="301" t="s">
        <v>223</v>
      </c>
      <c r="I17" s="301" t="s">
        <v>224</v>
      </c>
      <c r="J17" s="301" t="s">
        <v>66</v>
      </c>
      <c r="K17" s="301" t="s">
        <v>223</v>
      </c>
      <c r="L17" s="301" t="s">
        <v>224</v>
      </c>
      <c r="M17" s="301" t="s">
        <v>66</v>
      </c>
      <c r="N17" s="301" t="s">
        <v>223</v>
      </c>
      <c r="O17" s="301" t="s">
        <v>224</v>
      </c>
      <c r="P17" s="301" t="s">
        <v>66</v>
      </c>
      <c r="Q17" s="301" t="s">
        <v>223</v>
      </c>
      <c r="R17" s="301" t="s">
        <v>224</v>
      </c>
      <c r="S17" s="301" t="s">
        <v>66</v>
      </c>
      <c r="T17" s="307" t="s">
        <v>225</v>
      </c>
      <c r="U17" s="265"/>
      <c r="V17" s="275"/>
      <c r="W17" s="276"/>
      <c r="X17" s="276"/>
      <c r="Y17" s="276"/>
      <c r="Z17" s="276"/>
      <c r="AA17" s="291"/>
      <c r="AB17" s="22"/>
      <c r="AC17" s="22"/>
      <c r="AD17" s="22"/>
      <c r="AE17" s="28"/>
      <c r="AF17" s="293"/>
    </row>
    <row r="18">
      <c r="A18" s="264"/>
      <c r="B18" s="308"/>
      <c r="C18" s="309">
        <v>1.0</v>
      </c>
      <c r="D18" s="310" t="s">
        <v>226</v>
      </c>
      <c r="E18" s="311">
        <v>10.0</v>
      </c>
      <c r="F18" s="312">
        <v>35.0</v>
      </c>
      <c r="G18" s="311">
        <v>5.0</v>
      </c>
      <c r="H18" s="313">
        <v>12.0</v>
      </c>
      <c r="I18" s="312">
        <v>45.0</v>
      </c>
      <c r="J18" s="314">
        <v>1.0</v>
      </c>
      <c r="K18" s="311"/>
      <c r="L18" s="312"/>
      <c r="M18" s="311"/>
      <c r="N18" s="315"/>
      <c r="O18" s="316"/>
      <c r="P18" s="317"/>
      <c r="Q18" s="318"/>
      <c r="R18" s="316"/>
      <c r="S18" s="318"/>
      <c r="T18" s="319">
        <f t="shared" ref="T18:T28" si="1">(E18*F18)+(H18*I18)+(K18*L18)+(N18*O18)+(Q18*R18)</f>
        <v>890</v>
      </c>
      <c r="U18" s="265"/>
      <c r="V18" s="320">
        <v>1.0</v>
      </c>
      <c r="W18" s="321">
        <v>2.0</v>
      </c>
      <c r="X18" s="322">
        <v>3.0</v>
      </c>
      <c r="Y18" s="323">
        <v>4.0</v>
      </c>
      <c r="Z18" s="324">
        <v>5.0</v>
      </c>
      <c r="AA18" s="325">
        <v>6.0</v>
      </c>
      <c r="AB18" s="326">
        <v>7.0</v>
      </c>
      <c r="AC18" s="327">
        <v>8.0</v>
      </c>
      <c r="AD18" s="328">
        <v>9.0</v>
      </c>
      <c r="AE18" s="329">
        <v>10.0</v>
      </c>
      <c r="AF18" s="293"/>
    </row>
    <row r="19">
      <c r="A19" s="264"/>
      <c r="B19" s="308"/>
      <c r="C19" s="330">
        <v>2.0</v>
      </c>
      <c r="D19" s="331" t="s">
        <v>170</v>
      </c>
      <c r="E19" s="332">
        <v>6.0</v>
      </c>
      <c r="F19" s="333">
        <v>40.0</v>
      </c>
      <c r="G19" s="332">
        <v>5.0</v>
      </c>
      <c r="H19" s="334">
        <v>8.0</v>
      </c>
      <c r="I19" s="333">
        <v>60.0</v>
      </c>
      <c r="J19" s="335">
        <v>3.0</v>
      </c>
      <c r="K19" s="332">
        <v>10.0</v>
      </c>
      <c r="L19" s="333">
        <v>70.0</v>
      </c>
      <c r="M19" s="336"/>
      <c r="N19" s="337"/>
      <c r="O19" s="338"/>
      <c r="P19" s="339"/>
      <c r="Q19" s="336"/>
      <c r="R19" s="338"/>
      <c r="S19" s="336"/>
      <c r="T19" s="319">
        <f t="shared" si="1"/>
        <v>1420</v>
      </c>
      <c r="U19" s="265"/>
      <c r="V19" s="340" t="s">
        <v>227</v>
      </c>
      <c r="W19" s="268"/>
      <c r="X19" s="268"/>
      <c r="Y19" s="268"/>
      <c r="Z19" s="268"/>
      <c r="AA19" s="57"/>
      <c r="AB19" s="300">
        <v>9.0</v>
      </c>
      <c r="AC19" s="273"/>
      <c r="AD19" s="273"/>
      <c r="AE19" s="270"/>
      <c r="AF19" s="293"/>
    </row>
    <row r="20">
      <c r="A20" s="264"/>
      <c r="B20" s="308"/>
      <c r="C20" s="309">
        <v>3.0</v>
      </c>
      <c r="D20" s="341" t="s">
        <v>228</v>
      </c>
      <c r="E20" s="311">
        <v>8.0</v>
      </c>
      <c r="F20" s="342">
        <v>10.0</v>
      </c>
      <c r="G20" s="311">
        <v>4.0</v>
      </c>
      <c r="H20" s="343">
        <v>8.0</v>
      </c>
      <c r="I20" s="342">
        <v>15.0</v>
      </c>
      <c r="J20" s="344"/>
      <c r="K20" s="311">
        <v>11.0</v>
      </c>
      <c r="L20" s="342">
        <v>10.0</v>
      </c>
      <c r="M20" s="318"/>
      <c r="N20" s="345"/>
      <c r="O20" s="346"/>
      <c r="P20" s="344"/>
      <c r="Q20" s="318"/>
      <c r="R20" s="346"/>
      <c r="S20" s="318"/>
      <c r="T20" s="319">
        <f t="shared" si="1"/>
        <v>310</v>
      </c>
      <c r="U20" s="265"/>
      <c r="V20" s="64"/>
      <c r="AA20" s="63"/>
      <c r="AE20" s="25"/>
      <c r="AF20" s="293"/>
    </row>
    <row r="21">
      <c r="A21" s="264"/>
      <c r="B21" s="308"/>
      <c r="C21" s="330">
        <v>4.0</v>
      </c>
      <c r="D21" s="331" t="s">
        <v>229</v>
      </c>
      <c r="E21" s="332">
        <v>10.0</v>
      </c>
      <c r="F21" s="333">
        <v>10.0</v>
      </c>
      <c r="G21" s="332">
        <v>5.0</v>
      </c>
      <c r="H21" s="334">
        <v>10.0</v>
      </c>
      <c r="I21" s="333">
        <v>14.0</v>
      </c>
      <c r="J21" s="335">
        <v>2.0</v>
      </c>
      <c r="K21" s="332"/>
      <c r="L21" s="333"/>
      <c r="M21" s="336"/>
      <c r="N21" s="337"/>
      <c r="O21" s="338"/>
      <c r="P21" s="339"/>
      <c r="Q21" s="336"/>
      <c r="R21" s="338"/>
      <c r="S21" s="336"/>
      <c r="T21" s="319">
        <f t="shared" si="1"/>
        <v>240</v>
      </c>
      <c r="U21" s="265"/>
      <c r="V21" s="275"/>
      <c r="W21" s="276"/>
      <c r="X21" s="276"/>
      <c r="Y21" s="276"/>
      <c r="Z21" s="276"/>
      <c r="AA21" s="291"/>
      <c r="AB21" s="22"/>
      <c r="AC21" s="22"/>
      <c r="AD21" s="22"/>
      <c r="AE21" s="28"/>
      <c r="AF21" s="293"/>
    </row>
    <row r="22">
      <c r="A22" s="264"/>
      <c r="B22" s="308"/>
      <c r="C22" s="309">
        <v>5.0</v>
      </c>
      <c r="D22" s="341" t="s">
        <v>230</v>
      </c>
      <c r="E22" s="311">
        <v>10.0</v>
      </c>
      <c r="F22" s="342">
        <v>60.0</v>
      </c>
      <c r="G22" s="311">
        <v>2.0</v>
      </c>
      <c r="H22" s="343">
        <v>10.0</v>
      </c>
      <c r="I22" s="342">
        <v>80.0</v>
      </c>
      <c r="J22" s="344"/>
      <c r="K22" s="311"/>
      <c r="L22" s="342"/>
      <c r="M22" s="318"/>
      <c r="N22" s="345"/>
      <c r="O22" s="346"/>
      <c r="P22" s="344"/>
      <c r="Q22" s="318"/>
      <c r="R22" s="346"/>
      <c r="S22" s="318"/>
      <c r="T22" s="319">
        <f t="shared" si="1"/>
        <v>1400</v>
      </c>
      <c r="U22" s="265"/>
      <c r="V22" s="347">
        <v>1.0</v>
      </c>
      <c r="W22" s="348">
        <v>2.0</v>
      </c>
      <c r="X22" s="349">
        <v>3.0</v>
      </c>
      <c r="Y22" s="350">
        <v>4.0</v>
      </c>
      <c r="Z22" s="351">
        <v>5.0</v>
      </c>
      <c r="AA22" s="352">
        <v>6.0</v>
      </c>
      <c r="AB22" s="353">
        <v>7.0</v>
      </c>
      <c r="AC22" s="354">
        <v>8.0</v>
      </c>
      <c r="AD22" s="355">
        <v>9.0</v>
      </c>
      <c r="AE22" s="356">
        <v>10.0</v>
      </c>
      <c r="AF22" s="293"/>
    </row>
    <row r="23">
      <c r="A23" s="264"/>
      <c r="B23" s="308"/>
      <c r="C23" s="330">
        <v>6.0</v>
      </c>
      <c r="D23" s="331"/>
      <c r="E23" s="332"/>
      <c r="F23" s="333"/>
      <c r="G23" s="336"/>
      <c r="H23" s="334"/>
      <c r="I23" s="333"/>
      <c r="J23" s="339"/>
      <c r="K23" s="332"/>
      <c r="L23" s="333"/>
      <c r="M23" s="336"/>
      <c r="N23" s="337"/>
      <c r="O23" s="338"/>
      <c r="P23" s="339"/>
      <c r="Q23" s="336"/>
      <c r="R23" s="338"/>
      <c r="S23" s="336"/>
      <c r="T23" s="319">
        <f t="shared" si="1"/>
        <v>0</v>
      </c>
      <c r="U23" s="265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</row>
    <row r="24">
      <c r="A24" s="264"/>
      <c r="B24" s="308"/>
      <c r="C24" s="309">
        <v>7.0</v>
      </c>
      <c r="D24" s="341"/>
      <c r="E24" s="311"/>
      <c r="F24" s="342"/>
      <c r="G24" s="318"/>
      <c r="H24" s="343"/>
      <c r="I24" s="342"/>
      <c r="J24" s="344"/>
      <c r="K24" s="311"/>
      <c r="L24" s="342"/>
      <c r="M24" s="318"/>
      <c r="N24" s="345"/>
      <c r="O24" s="346"/>
      <c r="P24" s="344"/>
      <c r="Q24" s="318"/>
      <c r="R24" s="346"/>
      <c r="S24" s="318"/>
      <c r="T24" s="319">
        <f t="shared" si="1"/>
        <v>0</v>
      </c>
      <c r="U24" s="265"/>
      <c r="V24" s="357" t="s">
        <v>231</v>
      </c>
      <c r="W24" s="268"/>
      <c r="X24" s="268"/>
      <c r="Y24" s="268"/>
      <c r="Z24" s="268"/>
      <c r="AA24" s="268"/>
      <c r="AB24" s="268"/>
      <c r="AC24" s="268"/>
      <c r="AD24" s="268"/>
      <c r="AE24" s="57"/>
      <c r="AF24" s="293"/>
    </row>
    <row r="25">
      <c r="A25" s="264"/>
      <c r="B25" s="308"/>
      <c r="C25" s="330">
        <v>8.0</v>
      </c>
      <c r="D25" s="358"/>
      <c r="E25" s="336"/>
      <c r="F25" s="338"/>
      <c r="G25" s="336"/>
      <c r="H25" s="337"/>
      <c r="I25" s="338"/>
      <c r="J25" s="339"/>
      <c r="K25" s="336"/>
      <c r="L25" s="338"/>
      <c r="M25" s="336"/>
      <c r="N25" s="337"/>
      <c r="O25" s="338"/>
      <c r="P25" s="339"/>
      <c r="Q25" s="336"/>
      <c r="R25" s="338"/>
      <c r="S25" s="336"/>
      <c r="T25" s="319">
        <f t="shared" si="1"/>
        <v>0</v>
      </c>
      <c r="U25" s="265"/>
      <c r="V25" s="359" t="s">
        <v>232</v>
      </c>
      <c r="W25" s="273"/>
      <c r="X25" s="273"/>
      <c r="Y25" s="273"/>
      <c r="Z25" s="273"/>
      <c r="AA25" s="273"/>
      <c r="AB25" s="273"/>
      <c r="AC25" s="273"/>
      <c r="AD25" s="273"/>
      <c r="AE25" s="270"/>
      <c r="AF25" s="293"/>
    </row>
    <row r="26">
      <c r="A26" s="264"/>
      <c r="B26" s="308"/>
      <c r="C26" s="309">
        <v>9.0</v>
      </c>
      <c r="D26" s="360"/>
      <c r="E26" s="318"/>
      <c r="F26" s="346"/>
      <c r="G26" s="318"/>
      <c r="H26" s="345"/>
      <c r="I26" s="346"/>
      <c r="J26" s="344"/>
      <c r="K26" s="318"/>
      <c r="L26" s="346"/>
      <c r="M26" s="318"/>
      <c r="N26" s="345"/>
      <c r="O26" s="346"/>
      <c r="P26" s="344"/>
      <c r="Q26" s="318"/>
      <c r="R26" s="346"/>
      <c r="S26" s="318"/>
      <c r="T26" s="319">
        <f t="shared" si="1"/>
        <v>0</v>
      </c>
      <c r="U26" s="265"/>
      <c r="V26" s="90"/>
      <c r="AE26" s="25"/>
      <c r="AF26" s="293"/>
    </row>
    <row r="27">
      <c r="A27" s="264"/>
      <c r="B27" s="308"/>
      <c r="C27" s="330">
        <v>10.0</v>
      </c>
      <c r="D27" s="358"/>
      <c r="E27" s="336"/>
      <c r="F27" s="338"/>
      <c r="G27" s="336"/>
      <c r="H27" s="337"/>
      <c r="I27" s="338"/>
      <c r="J27" s="339"/>
      <c r="K27" s="336"/>
      <c r="L27" s="338"/>
      <c r="M27" s="336"/>
      <c r="N27" s="337"/>
      <c r="O27" s="338"/>
      <c r="P27" s="339"/>
      <c r="Q27" s="336"/>
      <c r="R27" s="338"/>
      <c r="S27" s="336"/>
      <c r="T27" s="319">
        <f t="shared" si="1"/>
        <v>0</v>
      </c>
      <c r="U27" s="265"/>
      <c r="V27" s="90"/>
      <c r="AE27" s="25"/>
      <c r="AF27" s="293"/>
    </row>
    <row r="28">
      <c r="A28" s="264"/>
      <c r="B28" s="361"/>
      <c r="C28" s="362">
        <v>11.0</v>
      </c>
      <c r="D28" s="363"/>
      <c r="E28" s="364"/>
      <c r="F28" s="365"/>
      <c r="G28" s="364"/>
      <c r="H28" s="366"/>
      <c r="I28" s="365"/>
      <c r="J28" s="367"/>
      <c r="K28" s="364"/>
      <c r="L28" s="365"/>
      <c r="M28" s="364"/>
      <c r="N28" s="366"/>
      <c r="O28" s="365"/>
      <c r="P28" s="367"/>
      <c r="Q28" s="364"/>
      <c r="R28" s="365"/>
      <c r="S28" s="364"/>
      <c r="T28" s="319">
        <f t="shared" si="1"/>
        <v>0</v>
      </c>
      <c r="U28" s="265"/>
      <c r="V28" s="27"/>
      <c r="W28" s="22"/>
      <c r="X28" s="22"/>
      <c r="Y28" s="22"/>
      <c r="Z28" s="22"/>
      <c r="AA28" s="22"/>
      <c r="AB28" s="22"/>
      <c r="AC28" s="22"/>
      <c r="AD28" s="22"/>
      <c r="AE28" s="28"/>
      <c r="AF28" s="293"/>
    </row>
    <row r="29">
      <c r="A29" s="264"/>
      <c r="B29" s="368"/>
      <c r="C29" s="265"/>
      <c r="D29" s="265"/>
      <c r="E29" s="265"/>
      <c r="F29" s="265"/>
      <c r="G29" s="265"/>
      <c r="H29" s="265"/>
      <c r="I29" s="292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</row>
    <row r="30">
      <c r="A30" s="264"/>
      <c r="B30" s="265"/>
      <c r="C30" s="294" t="s">
        <v>209</v>
      </c>
      <c r="D30" s="295"/>
      <c r="E30" s="296" t="s">
        <v>233</v>
      </c>
      <c r="F30" s="297"/>
      <c r="G30" s="297"/>
      <c r="H30" s="297"/>
      <c r="I30" s="297"/>
      <c r="J30" s="297"/>
      <c r="K30" s="297"/>
      <c r="L30" s="297"/>
      <c r="M30" s="282"/>
      <c r="N30" s="298" t="s">
        <v>211</v>
      </c>
      <c r="O30" s="268"/>
      <c r="P30" s="57"/>
      <c r="Q30" s="286" t="s">
        <v>212</v>
      </c>
      <c r="R30" s="268"/>
      <c r="S30" s="57"/>
      <c r="T30" s="292"/>
      <c r="U30" s="265"/>
      <c r="V30" s="299" t="s">
        <v>213</v>
      </c>
      <c r="W30" s="268"/>
      <c r="X30" s="268"/>
      <c r="Y30" s="268"/>
      <c r="Z30" s="268"/>
      <c r="AA30" s="57"/>
      <c r="AB30" s="300">
        <v>8.0</v>
      </c>
      <c r="AC30" s="273"/>
      <c r="AD30" s="273"/>
      <c r="AE30" s="270"/>
      <c r="AF30" s="293"/>
    </row>
    <row r="31">
      <c r="A31" s="264"/>
      <c r="B31" s="265"/>
      <c r="C31" s="301" t="s">
        <v>214</v>
      </c>
      <c r="D31" s="302">
        <v>45825.0</v>
      </c>
      <c r="E31" s="303" t="s">
        <v>215</v>
      </c>
      <c r="F31" s="22"/>
      <c r="G31" s="28"/>
      <c r="H31" s="304" t="s">
        <v>216</v>
      </c>
      <c r="I31" s="297"/>
      <c r="J31" s="282"/>
      <c r="K31" s="304" t="s">
        <v>217</v>
      </c>
      <c r="L31" s="297"/>
      <c r="M31" s="282"/>
      <c r="N31" s="304" t="s">
        <v>218</v>
      </c>
      <c r="O31" s="297"/>
      <c r="P31" s="282"/>
      <c r="Q31" s="304" t="s">
        <v>219</v>
      </c>
      <c r="R31" s="297"/>
      <c r="S31" s="282"/>
      <c r="T31" s="265"/>
      <c r="U31" s="265"/>
      <c r="V31" s="64"/>
      <c r="AA31" s="63"/>
      <c r="AE31" s="25"/>
      <c r="AF31" s="293"/>
    </row>
    <row r="32">
      <c r="A32" s="264"/>
      <c r="B32" s="305" t="s">
        <v>234</v>
      </c>
      <c r="C32" s="306" t="s">
        <v>221</v>
      </c>
      <c r="D32" s="306" t="s">
        <v>222</v>
      </c>
      <c r="E32" s="301" t="s">
        <v>223</v>
      </c>
      <c r="F32" s="301" t="s">
        <v>224</v>
      </c>
      <c r="G32" s="301" t="s">
        <v>66</v>
      </c>
      <c r="H32" s="301" t="s">
        <v>223</v>
      </c>
      <c r="I32" s="301" t="s">
        <v>224</v>
      </c>
      <c r="J32" s="301" t="s">
        <v>66</v>
      </c>
      <c r="K32" s="301" t="s">
        <v>223</v>
      </c>
      <c r="L32" s="301" t="s">
        <v>224</v>
      </c>
      <c r="M32" s="301" t="s">
        <v>66</v>
      </c>
      <c r="N32" s="301" t="s">
        <v>223</v>
      </c>
      <c r="O32" s="301" t="s">
        <v>224</v>
      </c>
      <c r="P32" s="301" t="s">
        <v>66</v>
      </c>
      <c r="Q32" s="301" t="s">
        <v>223</v>
      </c>
      <c r="R32" s="301" t="s">
        <v>224</v>
      </c>
      <c r="S32" s="301" t="s">
        <v>66</v>
      </c>
      <c r="T32" s="307" t="s">
        <v>225</v>
      </c>
      <c r="U32" s="265"/>
      <c r="V32" s="275"/>
      <c r="W32" s="276"/>
      <c r="X32" s="276"/>
      <c r="Y32" s="276"/>
      <c r="Z32" s="276"/>
      <c r="AA32" s="291"/>
      <c r="AB32" s="22"/>
      <c r="AC32" s="22"/>
      <c r="AD32" s="22"/>
      <c r="AE32" s="28"/>
      <c r="AF32" s="293"/>
    </row>
    <row r="33">
      <c r="A33" s="264"/>
      <c r="B33" s="308"/>
      <c r="C33" s="309">
        <v>1.0</v>
      </c>
      <c r="D33" s="369" t="s">
        <v>235</v>
      </c>
      <c r="E33" s="311">
        <v>12.0</v>
      </c>
      <c r="F33" s="312">
        <v>8.0</v>
      </c>
      <c r="G33" s="318"/>
      <c r="H33" s="313">
        <v>10.0</v>
      </c>
      <c r="I33" s="312">
        <v>8.0</v>
      </c>
      <c r="J33" s="317"/>
      <c r="K33" s="311"/>
      <c r="L33" s="312"/>
      <c r="M33" s="318"/>
      <c r="N33" s="315"/>
      <c r="O33" s="316"/>
      <c r="P33" s="317"/>
      <c r="Q33" s="318"/>
      <c r="R33" s="316"/>
      <c r="S33" s="318"/>
      <c r="T33" s="319">
        <f t="shared" ref="T33:T43" si="2">(E33*F33)+(H33*I33)+(K33*L33)+(N33*O33)+(Q33*R33)</f>
        <v>176</v>
      </c>
      <c r="U33" s="265"/>
      <c r="V33" s="320">
        <v>1.0</v>
      </c>
      <c r="W33" s="321">
        <v>2.0</v>
      </c>
      <c r="X33" s="322">
        <v>3.0</v>
      </c>
      <c r="Y33" s="323">
        <v>4.0</v>
      </c>
      <c r="Z33" s="324">
        <v>5.0</v>
      </c>
      <c r="AA33" s="325">
        <v>6.0</v>
      </c>
      <c r="AB33" s="326">
        <v>7.0</v>
      </c>
      <c r="AC33" s="327">
        <v>8.0</v>
      </c>
      <c r="AD33" s="328">
        <v>9.0</v>
      </c>
      <c r="AE33" s="329">
        <v>10.0</v>
      </c>
      <c r="AF33" s="293"/>
    </row>
    <row r="34">
      <c r="A34" s="264"/>
      <c r="B34" s="308"/>
      <c r="C34" s="330">
        <v>2.0</v>
      </c>
      <c r="D34" s="331" t="s">
        <v>236</v>
      </c>
      <c r="E34" s="332">
        <v>8.0</v>
      </c>
      <c r="F34" s="333">
        <v>26.0</v>
      </c>
      <c r="G34" s="336"/>
      <c r="H34" s="334">
        <v>8.0</v>
      </c>
      <c r="I34" s="333">
        <v>26.0</v>
      </c>
      <c r="J34" s="339"/>
      <c r="K34" s="332"/>
      <c r="L34" s="333"/>
      <c r="M34" s="336"/>
      <c r="N34" s="337"/>
      <c r="O34" s="338"/>
      <c r="P34" s="339"/>
      <c r="Q34" s="336"/>
      <c r="R34" s="338"/>
      <c r="S34" s="336"/>
      <c r="T34" s="319">
        <f t="shared" si="2"/>
        <v>416</v>
      </c>
      <c r="U34" s="265"/>
      <c r="V34" s="340" t="s">
        <v>227</v>
      </c>
      <c r="W34" s="268"/>
      <c r="X34" s="268"/>
      <c r="Y34" s="268"/>
      <c r="Z34" s="268"/>
      <c r="AA34" s="57"/>
      <c r="AB34" s="300">
        <v>8.0</v>
      </c>
      <c r="AC34" s="273"/>
      <c r="AD34" s="273"/>
      <c r="AE34" s="270"/>
      <c r="AF34" s="293"/>
    </row>
    <row r="35">
      <c r="A35" s="264"/>
      <c r="B35" s="308"/>
      <c r="C35" s="309">
        <v>3.0</v>
      </c>
      <c r="D35" s="341" t="s">
        <v>237</v>
      </c>
      <c r="E35" s="311">
        <v>10.0</v>
      </c>
      <c r="F35" s="342">
        <v>30.0</v>
      </c>
      <c r="G35" s="318"/>
      <c r="H35" s="343">
        <v>10.0</v>
      </c>
      <c r="I35" s="342">
        <v>30.0</v>
      </c>
      <c r="J35" s="344"/>
      <c r="K35" s="311"/>
      <c r="L35" s="342"/>
      <c r="M35" s="318"/>
      <c r="N35" s="345"/>
      <c r="O35" s="346"/>
      <c r="P35" s="344"/>
      <c r="Q35" s="318"/>
      <c r="R35" s="346"/>
      <c r="S35" s="318"/>
      <c r="T35" s="319">
        <f t="shared" si="2"/>
        <v>600</v>
      </c>
      <c r="U35" s="265"/>
      <c r="V35" s="64"/>
      <c r="AA35" s="63"/>
      <c r="AE35" s="25"/>
      <c r="AF35" s="293"/>
    </row>
    <row r="36">
      <c r="A36" s="264"/>
      <c r="B36" s="308"/>
      <c r="C36" s="330">
        <v>4.0</v>
      </c>
      <c r="D36" s="331" t="s">
        <v>238</v>
      </c>
      <c r="E36" s="332">
        <v>10.0</v>
      </c>
      <c r="F36" s="333">
        <v>12.5</v>
      </c>
      <c r="G36" s="336"/>
      <c r="H36" s="334">
        <v>10.0</v>
      </c>
      <c r="I36" s="333">
        <v>12.5</v>
      </c>
      <c r="J36" s="339"/>
      <c r="K36" s="332"/>
      <c r="L36" s="333"/>
      <c r="M36" s="336"/>
      <c r="N36" s="334"/>
      <c r="O36" s="333"/>
      <c r="P36" s="339"/>
      <c r="Q36" s="336"/>
      <c r="R36" s="338"/>
      <c r="S36" s="336"/>
      <c r="T36" s="319">
        <f t="shared" si="2"/>
        <v>250</v>
      </c>
      <c r="U36" s="265"/>
      <c r="V36" s="275"/>
      <c r="W36" s="276"/>
      <c r="X36" s="276"/>
      <c r="Y36" s="276"/>
      <c r="Z36" s="276"/>
      <c r="AA36" s="291"/>
      <c r="AB36" s="22"/>
      <c r="AC36" s="22"/>
      <c r="AD36" s="22"/>
      <c r="AE36" s="28"/>
      <c r="AF36" s="293"/>
    </row>
    <row r="37">
      <c r="A37" s="264"/>
      <c r="B37" s="308"/>
      <c r="C37" s="309">
        <v>5.0</v>
      </c>
      <c r="D37" s="341" t="s">
        <v>239</v>
      </c>
      <c r="E37" s="311">
        <v>12.0</v>
      </c>
      <c r="F37" s="342">
        <v>20.0</v>
      </c>
      <c r="G37" s="318"/>
      <c r="H37" s="343">
        <v>12.0</v>
      </c>
      <c r="I37" s="342">
        <v>20.0</v>
      </c>
      <c r="J37" s="344"/>
      <c r="K37" s="311"/>
      <c r="L37" s="342"/>
      <c r="M37" s="318"/>
      <c r="N37" s="345"/>
      <c r="O37" s="346"/>
      <c r="P37" s="344"/>
      <c r="Q37" s="318"/>
      <c r="R37" s="346"/>
      <c r="S37" s="318"/>
      <c r="T37" s="319">
        <f t="shared" si="2"/>
        <v>480</v>
      </c>
      <c r="U37" s="265"/>
      <c r="V37" s="347">
        <v>1.0</v>
      </c>
      <c r="W37" s="348">
        <v>2.0</v>
      </c>
      <c r="X37" s="349">
        <v>3.0</v>
      </c>
      <c r="Y37" s="350">
        <v>4.0</v>
      </c>
      <c r="Z37" s="351">
        <v>5.0</v>
      </c>
      <c r="AA37" s="352">
        <v>6.0</v>
      </c>
      <c r="AB37" s="353">
        <v>7.0</v>
      </c>
      <c r="AC37" s="354">
        <v>8.0</v>
      </c>
      <c r="AD37" s="355">
        <v>9.0</v>
      </c>
      <c r="AE37" s="356">
        <v>10.0</v>
      </c>
      <c r="AF37" s="293"/>
    </row>
    <row r="38">
      <c r="A38" s="264"/>
      <c r="B38" s="308"/>
      <c r="C38" s="330">
        <v>6.0</v>
      </c>
      <c r="D38" s="331" t="s">
        <v>240</v>
      </c>
      <c r="E38" s="332">
        <v>12.0</v>
      </c>
      <c r="F38" s="333">
        <v>7.5</v>
      </c>
      <c r="G38" s="336"/>
      <c r="H38" s="334">
        <v>12.0</v>
      </c>
      <c r="I38" s="333">
        <v>7.5</v>
      </c>
      <c r="J38" s="339"/>
      <c r="K38" s="336"/>
      <c r="L38" s="333"/>
      <c r="M38" s="336"/>
      <c r="N38" s="337"/>
      <c r="O38" s="338"/>
      <c r="P38" s="339"/>
      <c r="Q38" s="336"/>
      <c r="R38" s="338"/>
      <c r="S38" s="336"/>
      <c r="T38" s="319">
        <f t="shared" si="2"/>
        <v>180</v>
      </c>
      <c r="U38" s="265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</row>
    <row r="39">
      <c r="A39" s="264"/>
      <c r="B39" s="308"/>
      <c r="C39" s="309">
        <v>7.0</v>
      </c>
      <c r="D39" s="360"/>
      <c r="E39" s="318"/>
      <c r="F39" s="346"/>
      <c r="G39" s="318"/>
      <c r="H39" s="345"/>
      <c r="I39" s="346"/>
      <c r="J39" s="344"/>
      <c r="K39" s="318"/>
      <c r="L39" s="346"/>
      <c r="M39" s="318"/>
      <c r="N39" s="345"/>
      <c r="O39" s="346"/>
      <c r="P39" s="344"/>
      <c r="Q39" s="318"/>
      <c r="R39" s="346"/>
      <c r="S39" s="318"/>
      <c r="T39" s="319">
        <f t="shared" si="2"/>
        <v>0</v>
      </c>
      <c r="U39" s="265"/>
      <c r="V39" s="357" t="s">
        <v>231</v>
      </c>
      <c r="W39" s="268"/>
      <c r="X39" s="268"/>
      <c r="Y39" s="268"/>
      <c r="Z39" s="268"/>
      <c r="AA39" s="268"/>
      <c r="AB39" s="268"/>
      <c r="AC39" s="268"/>
      <c r="AD39" s="268"/>
      <c r="AE39" s="57"/>
      <c r="AF39" s="293"/>
    </row>
    <row r="40">
      <c r="A40" s="264"/>
      <c r="B40" s="308"/>
      <c r="C40" s="330">
        <v>8.0</v>
      </c>
      <c r="D40" s="358"/>
      <c r="E40" s="336"/>
      <c r="F40" s="338"/>
      <c r="G40" s="336"/>
      <c r="H40" s="337"/>
      <c r="I40" s="338"/>
      <c r="J40" s="339"/>
      <c r="K40" s="336"/>
      <c r="L40" s="338"/>
      <c r="M40" s="336"/>
      <c r="N40" s="337"/>
      <c r="O40" s="338"/>
      <c r="P40" s="339"/>
      <c r="Q40" s="336"/>
      <c r="R40" s="338"/>
      <c r="S40" s="336"/>
      <c r="T40" s="319">
        <f t="shared" si="2"/>
        <v>0</v>
      </c>
      <c r="U40" s="265"/>
      <c r="V40" s="370"/>
      <c r="W40" s="273"/>
      <c r="X40" s="273"/>
      <c r="Y40" s="273"/>
      <c r="Z40" s="273"/>
      <c r="AA40" s="273"/>
      <c r="AB40" s="273"/>
      <c r="AC40" s="273"/>
      <c r="AD40" s="273"/>
      <c r="AE40" s="270"/>
      <c r="AF40" s="293"/>
    </row>
    <row r="41">
      <c r="A41" s="264"/>
      <c r="B41" s="308"/>
      <c r="C41" s="309">
        <v>9.0</v>
      </c>
      <c r="D41" s="360"/>
      <c r="E41" s="318"/>
      <c r="F41" s="346"/>
      <c r="G41" s="318"/>
      <c r="H41" s="345"/>
      <c r="I41" s="346"/>
      <c r="J41" s="344"/>
      <c r="K41" s="318"/>
      <c r="L41" s="346"/>
      <c r="M41" s="318"/>
      <c r="N41" s="345"/>
      <c r="O41" s="346"/>
      <c r="P41" s="344"/>
      <c r="Q41" s="318"/>
      <c r="R41" s="346"/>
      <c r="S41" s="318"/>
      <c r="T41" s="319">
        <f t="shared" si="2"/>
        <v>0</v>
      </c>
      <c r="U41" s="265"/>
      <c r="V41" s="90"/>
      <c r="AE41" s="25"/>
      <c r="AF41" s="293"/>
    </row>
    <row r="42">
      <c r="A42" s="264"/>
      <c r="B42" s="308"/>
      <c r="C42" s="330">
        <v>10.0</v>
      </c>
      <c r="D42" s="358"/>
      <c r="E42" s="336"/>
      <c r="F42" s="338"/>
      <c r="G42" s="336"/>
      <c r="H42" s="337"/>
      <c r="I42" s="338"/>
      <c r="J42" s="339"/>
      <c r="K42" s="336"/>
      <c r="L42" s="338"/>
      <c r="M42" s="336"/>
      <c r="N42" s="337"/>
      <c r="O42" s="338"/>
      <c r="P42" s="339"/>
      <c r="Q42" s="336"/>
      <c r="R42" s="338"/>
      <c r="S42" s="336"/>
      <c r="T42" s="319">
        <f t="shared" si="2"/>
        <v>0</v>
      </c>
      <c r="U42" s="265"/>
      <c r="V42" s="90"/>
      <c r="AE42" s="25"/>
      <c r="AF42" s="293"/>
    </row>
    <row r="43">
      <c r="A43" s="264"/>
      <c r="B43" s="361"/>
      <c r="C43" s="362">
        <v>11.0</v>
      </c>
      <c r="D43" s="363"/>
      <c r="E43" s="364"/>
      <c r="F43" s="365"/>
      <c r="G43" s="364"/>
      <c r="H43" s="366"/>
      <c r="I43" s="365"/>
      <c r="J43" s="367"/>
      <c r="K43" s="364"/>
      <c r="L43" s="365"/>
      <c r="M43" s="364"/>
      <c r="N43" s="366"/>
      <c r="O43" s="365"/>
      <c r="P43" s="367"/>
      <c r="Q43" s="364"/>
      <c r="R43" s="365"/>
      <c r="S43" s="364"/>
      <c r="T43" s="319">
        <f t="shared" si="2"/>
        <v>0</v>
      </c>
      <c r="U43" s="265"/>
      <c r="V43" s="27"/>
      <c r="W43" s="22"/>
      <c r="X43" s="22"/>
      <c r="Y43" s="22"/>
      <c r="Z43" s="22"/>
      <c r="AA43" s="22"/>
      <c r="AB43" s="22"/>
      <c r="AC43" s="22"/>
      <c r="AD43" s="22"/>
      <c r="AE43" s="28"/>
      <c r="AF43" s="293"/>
    </row>
    <row r="44">
      <c r="A44" s="264"/>
      <c r="B44" s="368"/>
      <c r="C44" s="265"/>
      <c r="D44" s="265"/>
      <c r="E44" s="265"/>
      <c r="F44" s="265"/>
      <c r="G44" s="265"/>
      <c r="H44" s="265"/>
      <c r="I44" s="265"/>
      <c r="J44" s="265"/>
      <c r="K44" s="29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93"/>
      <c r="W44" s="293"/>
      <c r="X44" s="293"/>
      <c r="Y44" s="293"/>
      <c r="Z44" s="293"/>
      <c r="AA44" s="293"/>
      <c r="AB44" s="293"/>
      <c r="AC44" s="371"/>
      <c r="AD44" s="293"/>
      <c r="AE44" s="293"/>
      <c r="AF44" s="293"/>
    </row>
    <row r="45">
      <c r="A45" s="264"/>
      <c r="B45" s="265"/>
      <c r="C45" s="294" t="s">
        <v>209</v>
      </c>
      <c r="D45" s="295"/>
      <c r="E45" s="296" t="s">
        <v>241</v>
      </c>
      <c r="F45" s="297"/>
      <c r="G45" s="297"/>
      <c r="H45" s="297"/>
      <c r="I45" s="297"/>
      <c r="J45" s="297"/>
      <c r="K45" s="297"/>
      <c r="L45" s="297"/>
      <c r="M45" s="282"/>
      <c r="N45" s="298" t="s">
        <v>211</v>
      </c>
      <c r="O45" s="268"/>
      <c r="P45" s="57"/>
      <c r="Q45" s="286" t="s">
        <v>212</v>
      </c>
      <c r="R45" s="268"/>
      <c r="S45" s="57"/>
      <c r="T45" s="292"/>
      <c r="U45" s="265"/>
      <c r="V45" s="299" t="s">
        <v>213</v>
      </c>
      <c r="W45" s="268"/>
      <c r="X45" s="268"/>
      <c r="Y45" s="268"/>
      <c r="Z45" s="268"/>
      <c r="AA45" s="57"/>
      <c r="AB45" s="300">
        <v>10.0</v>
      </c>
      <c r="AC45" s="273"/>
      <c r="AD45" s="273"/>
      <c r="AE45" s="270"/>
      <c r="AF45" s="293"/>
    </row>
    <row r="46">
      <c r="A46" s="264"/>
      <c r="B46" s="265"/>
      <c r="C46" s="301" t="s">
        <v>214</v>
      </c>
      <c r="D46" s="372">
        <v>45834.0</v>
      </c>
      <c r="E46" s="303" t="s">
        <v>215</v>
      </c>
      <c r="F46" s="22"/>
      <c r="G46" s="28"/>
      <c r="H46" s="304" t="s">
        <v>216</v>
      </c>
      <c r="I46" s="297"/>
      <c r="J46" s="282"/>
      <c r="K46" s="304" t="s">
        <v>217</v>
      </c>
      <c r="L46" s="297"/>
      <c r="M46" s="282"/>
      <c r="N46" s="304" t="s">
        <v>218</v>
      </c>
      <c r="O46" s="297"/>
      <c r="P46" s="282"/>
      <c r="Q46" s="304" t="s">
        <v>219</v>
      </c>
      <c r="R46" s="297"/>
      <c r="S46" s="282"/>
      <c r="T46" s="265"/>
      <c r="U46" s="265"/>
      <c r="V46" s="64"/>
      <c r="AA46" s="63"/>
      <c r="AE46" s="25"/>
      <c r="AF46" s="293"/>
    </row>
    <row r="47">
      <c r="A47" s="264"/>
      <c r="B47" s="305" t="s">
        <v>242</v>
      </c>
      <c r="C47" s="306" t="s">
        <v>221</v>
      </c>
      <c r="D47" s="306" t="s">
        <v>222</v>
      </c>
      <c r="E47" s="301" t="s">
        <v>223</v>
      </c>
      <c r="F47" s="301" t="s">
        <v>224</v>
      </c>
      <c r="G47" s="301" t="s">
        <v>66</v>
      </c>
      <c r="H47" s="301" t="s">
        <v>223</v>
      </c>
      <c r="I47" s="301" t="s">
        <v>224</v>
      </c>
      <c r="J47" s="301" t="s">
        <v>66</v>
      </c>
      <c r="K47" s="301" t="s">
        <v>223</v>
      </c>
      <c r="L47" s="301" t="s">
        <v>224</v>
      </c>
      <c r="M47" s="301" t="s">
        <v>66</v>
      </c>
      <c r="N47" s="301" t="s">
        <v>223</v>
      </c>
      <c r="O47" s="301" t="s">
        <v>224</v>
      </c>
      <c r="P47" s="301" t="s">
        <v>66</v>
      </c>
      <c r="Q47" s="301" t="s">
        <v>223</v>
      </c>
      <c r="R47" s="301" t="s">
        <v>224</v>
      </c>
      <c r="S47" s="301" t="s">
        <v>66</v>
      </c>
      <c r="T47" s="307" t="s">
        <v>225</v>
      </c>
      <c r="U47" s="265"/>
      <c r="V47" s="275"/>
      <c r="W47" s="276"/>
      <c r="X47" s="276"/>
      <c r="Y47" s="276"/>
      <c r="Z47" s="276"/>
      <c r="AA47" s="291"/>
      <c r="AB47" s="22"/>
      <c r="AC47" s="22"/>
      <c r="AD47" s="22"/>
      <c r="AE47" s="28"/>
      <c r="AF47" s="293"/>
    </row>
    <row r="48">
      <c r="A48" s="264"/>
      <c r="B48" s="308"/>
      <c r="C48" s="309">
        <v>1.0</v>
      </c>
      <c r="D48" s="373" t="s">
        <v>154</v>
      </c>
      <c r="E48" s="374">
        <v>10.0</v>
      </c>
      <c r="F48" s="375">
        <v>7.5</v>
      </c>
      <c r="G48" s="374"/>
      <c r="H48" s="376">
        <v>10.0</v>
      </c>
      <c r="I48" s="375">
        <v>7.5</v>
      </c>
      <c r="J48" s="317"/>
      <c r="K48" s="311"/>
      <c r="L48" s="312"/>
      <c r="M48" s="318"/>
      <c r="N48" s="315"/>
      <c r="O48" s="316"/>
      <c r="P48" s="317"/>
      <c r="Q48" s="318"/>
      <c r="R48" s="316"/>
      <c r="S48" s="318"/>
      <c r="T48" s="319">
        <f t="shared" ref="T48:T58" si="3">(E48*F48)+(H48*I48)+(K48*L48)+(N48*O48)+(Q48*R48)</f>
        <v>150</v>
      </c>
      <c r="U48" s="265"/>
      <c r="V48" s="320">
        <v>1.0</v>
      </c>
      <c r="W48" s="321">
        <v>2.0</v>
      </c>
      <c r="X48" s="322">
        <v>3.0</v>
      </c>
      <c r="Y48" s="323">
        <v>4.0</v>
      </c>
      <c r="Z48" s="324">
        <v>5.0</v>
      </c>
      <c r="AA48" s="325">
        <v>6.0</v>
      </c>
      <c r="AB48" s="326">
        <v>7.0</v>
      </c>
      <c r="AC48" s="327">
        <v>8.0</v>
      </c>
      <c r="AD48" s="328">
        <v>9.0</v>
      </c>
      <c r="AE48" s="329">
        <v>10.0</v>
      </c>
      <c r="AF48" s="293"/>
    </row>
    <row r="49">
      <c r="A49" s="264"/>
      <c r="B49" s="308"/>
      <c r="C49" s="330">
        <v>2.0</v>
      </c>
      <c r="D49" s="377" t="s">
        <v>155</v>
      </c>
      <c r="E49" s="378">
        <v>10.0</v>
      </c>
      <c r="F49" s="379">
        <v>20.0</v>
      </c>
      <c r="G49" s="380"/>
      <c r="H49" s="381">
        <v>8.0</v>
      </c>
      <c r="I49" s="379">
        <v>20.0</v>
      </c>
      <c r="J49" s="339"/>
      <c r="K49" s="332"/>
      <c r="L49" s="333"/>
      <c r="M49" s="336"/>
      <c r="N49" s="337"/>
      <c r="O49" s="338"/>
      <c r="P49" s="339"/>
      <c r="Q49" s="336"/>
      <c r="R49" s="338"/>
      <c r="S49" s="336"/>
      <c r="T49" s="319">
        <f t="shared" si="3"/>
        <v>360</v>
      </c>
      <c r="U49" s="265"/>
      <c r="V49" s="340" t="s">
        <v>227</v>
      </c>
      <c r="W49" s="268"/>
      <c r="X49" s="268"/>
      <c r="Y49" s="268"/>
      <c r="Z49" s="268"/>
      <c r="AA49" s="57"/>
      <c r="AB49" s="300">
        <v>7.0</v>
      </c>
      <c r="AC49" s="273"/>
      <c r="AD49" s="273"/>
      <c r="AE49" s="270"/>
      <c r="AF49" s="293"/>
    </row>
    <row r="50">
      <c r="A50" s="264"/>
      <c r="B50" s="308"/>
      <c r="C50" s="309">
        <v>3.0</v>
      </c>
      <c r="D50" s="382" t="s">
        <v>156</v>
      </c>
      <c r="E50" s="374">
        <v>8.0</v>
      </c>
      <c r="F50" s="383">
        <v>20.0</v>
      </c>
      <c r="G50" s="384"/>
      <c r="H50" s="385">
        <v>7.0</v>
      </c>
      <c r="I50" s="383">
        <v>20.0</v>
      </c>
      <c r="J50" s="344"/>
      <c r="K50" s="311"/>
      <c r="L50" s="342"/>
      <c r="M50" s="318"/>
      <c r="N50" s="345"/>
      <c r="O50" s="346"/>
      <c r="P50" s="344"/>
      <c r="Q50" s="318"/>
      <c r="R50" s="346"/>
      <c r="S50" s="318"/>
      <c r="T50" s="319">
        <f t="shared" si="3"/>
        <v>300</v>
      </c>
      <c r="U50" s="265"/>
      <c r="V50" s="64"/>
      <c r="AA50" s="63"/>
      <c r="AE50" s="25"/>
      <c r="AF50" s="293"/>
    </row>
    <row r="51">
      <c r="A51" s="264"/>
      <c r="B51" s="308"/>
      <c r="C51" s="330">
        <v>4.0</v>
      </c>
      <c r="D51" s="377" t="s">
        <v>159</v>
      </c>
      <c r="E51" s="378">
        <v>12.0</v>
      </c>
      <c r="F51" s="379">
        <v>55.0</v>
      </c>
      <c r="G51" s="380"/>
      <c r="H51" s="381">
        <v>10.0</v>
      </c>
      <c r="I51" s="379">
        <v>55.0</v>
      </c>
      <c r="J51" s="339"/>
      <c r="K51" s="332"/>
      <c r="L51" s="333"/>
      <c r="M51" s="336"/>
      <c r="N51" s="337"/>
      <c r="O51" s="338"/>
      <c r="P51" s="339"/>
      <c r="Q51" s="336"/>
      <c r="R51" s="338"/>
      <c r="S51" s="336"/>
      <c r="T51" s="319">
        <f t="shared" si="3"/>
        <v>1210</v>
      </c>
      <c r="U51" s="265"/>
      <c r="V51" s="275"/>
      <c r="W51" s="276"/>
      <c r="X51" s="276"/>
      <c r="Y51" s="276"/>
      <c r="Z51" s="276"/>
      <c r="AA51" s="291"/>
      <c r="AB51" s="22"/>
      <c r="AC51" s="22"/>
      <c r="AD51" s="22"/>
      <c r="AE51" s="28"/>
      <c r="AF51" s="293"/>
    </row>
    <row r="52">
      <c r="A52" s="264"/>
      <c r="B52" s="308"/>
      <c r="C52" s="309">
        <v>5.0</v>
      </c>
      <c r="D52" s="382" t="s">
        <v>161</v>
      </c>
      <c r="E52" s="374">
        <v>10.0</v>
      </c>
      <c r="F52" s="383">
        <v>20.0</v>
      </c>
      <c r="G52" s="384"/>
      <c r="H52" s="385">
        <v>9.0</v>
      </c>
      <c r="I52" s="383">
        <v>20.0</v>
      </c>
      <c r="J52" s="344"/>
      <c r="K52" s="311"/>
      <c r="L52" s="342"/>
      <c r="M52" s="318"/>
      <c r="N52" s="345"/>
      <c r="O52" s="346"/>
      <c r="P52" s="344"/>
      <c r="Q52" s="318"/>
      <c r="R52" s="346"/>
      <c r="S52" s="318"/>
      <c r="T52" s="319">
        <f t="shared" si="3"/>
        <v>380</v>
      </c>
      <c r="U52" s="265"/>
      <c r="V52" s="347">
        <v>1.0</v>
      </c>
      <c r="W52" s="348">
        <v>2.0</v>
      </c>
      <c r="X52" s="349">
        <v>3.0</v>
      </c>
      <c r="Y52" s="350">
        <v>4.0</v>
      </c>
      <c r="Z52" s="351">
        <v>5.0</v>
      </c>
      <c r="AA52" s="352">
        <v>6.0</v>
      </c>
      <c r="AB52" s="353">
        <v>7.0</v>
      </c>
      <c r="AC52" s="354">
        <v>8.0</v>
      </c>
      <c r="AD52" s="355">
        <v>9.0</v>
      </c>
      <c r="AE52" s="356">
        <v>10.0</v>
      </c>
      <c r="AF52" s="293"/>
    </row>
    <row r="53">
      <c r="A53" s="264"/>
      <c r="B53" s="308"/>
      <c r="C53" s="330">
        <v>6.0</v>
      </c>
      <c r="D53" s="331" t="s">
        <v>107</v>
      </c>
      <c r="E53" s="378" t="s">
        <v>243</v>
      </c>
      <c r="F53" s="379" t="s">
        <v>243</v>
      </c>
      <c r="G53" s="378"/>
      <c r="H53" s="381" t="s">
        <v>243</v>
      </c>
      <c r="I53" s="379" t="s">
        <v>243</v>
      </c>
      <c r="J53" s="335"/>
      <c r="K53" s="332"/>
      <c r="L53" s="333"/>
      <c r="M53" s="336"/>
      <c r="N53" s="337"/>
      <c r="O53" s="338"/>
      <c r="P53" s="339"/>
      <c r="Q53" s="336"/>
      <c r="R53" s="338"/>
      <c r="S53" s="336"/>
      <c r="T53" s="319" t="str">
        <f t="shared" si="3"/>
        <v>#VALUE!</v>
      </c>
      <c r="U53" s="265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</row>
    <row r="54" ht="37.5" customHeight="1">
      <c r="A54" s="264"/>
      <c r="B54" s="308"/>
      <c r="C54" s="309">
        <v>7.0</v>
      </c>
      <c r="D54" s="382" t="s">
        <v>163</v>
      </c>
      <c r="E54" s="374">
        <v>14.0</v>
      </c>
      <c r="F54" s="383">
        <v>5.0</v>
      </c>
      <c r="G54" s="384"/>
      <c r="H54" s="385">
        <v>12.0</v>
      </c>
      <c r="I54" s="383">
        <v>5.0</v>
      </c>
      <c r="J54" s="344"/>
      <c r="K54" s="311"/>
      <c r="L54" s="342"/>
      <c r="M54" s="318"/>
      <c r="N54" s="345"/>
      <c r="O54" s="346"/>
      <c r="P54" s="344"/>
      <c r="Q54" s="318"/>
      <c r="R54" s="346"/>
      <c r="S54" s="318"/>
      <c r="T54" s="319">
        <f t="shared" si="3"/>
        <v>130</v>
      </c>
      <c r="U54" s="265"/>
      <c r="V54" s="357" t="s">
        <v>231</v>
      </c>
      <c r="W54" s="268"/>
      <c r="X54" s="268"/>
      <c r="Y54" s="268"/>
      <c r="Z54" s="268"/>
      <c r="AA54" s="268"/>
      <c r="AB54" s="268"/>
      <c r="AC54" s="268"/>
      <c r="AD54" s="268"/>
      <c r="AE54" s="57"/>
      <c r="AF54" s="293"/>
    </row>
    <row r="55">
      <c r="A55" s="264"/>
      <c r="B55" s="308"/>
      <c r="C55" s="330">
        <v>8.0</v>
      </c>
      <c r="D55" s="358"/>
      <c r="E55" s="336"/>
      <c r="F55" s="338"/>
      <c r="G55" s="336"/>
      <c r="H55" s="337"/>
      <c r="I55" s="338"/>
      <c r="J55" s="339"/>
      <c r="K55" s="336"/>
      <c r="L55" s="338"/>
      <c r="M55" s="336"/>
      <c r="N55" s="337"/>
      <c r="O55" s="338"/>
      <c r="P55" s="339"/>
      <c r="Q55" s="336"/>
      <c r="R55" s="338"/>
      <c r="S55" s="336"/>
      <c r="T55" s="319">
        <f t="shared" si="3"/>
        <v>0</v>
      </c>
      <c r="U55" s="265"/>
      <c r="V55" s="370"/>
      <c r="W55" s="273"/>
      <c r="X55" s="273"/>
      <c r="Y55" s="273"/>
      <c r="Z55" s="273"/>
      <c r="AA55" s="273"/>
      <c r="AB55" s="273"/>
      <c r="AC55" s="273"/>
      <c r="AD55" s="273"/>
      <c r="AE55" s="270"/>
      <c r="AF55" s="293"/>
    </row>
    <row r="56">
      <c r="A56" s="264"/>
      <c r="B56" s="308"/>
      <c r="C56" s="309">
        <v>9.0</v>
      </c>
      <c r="D56" s="360"/>
      <c r="E56" s="318"/>
      <c r="F56" s="346"/>
      <c r="G56" s="318"/>
      <c r="H56" s="345"/>
      <c r="I56" s="346"/>
      <c r="J56" s="344"/>
      <c r="K56" s="318"/>
      <c r="L56" s="346"/>
      <c r="M56" s="318"/>
      <c r="N56" s="345"/>
      <c r="O56" s="346"/>
      <c r="P56" s="344"/>
      <c r="Q56" s="318"/>
      <c r="R56" s="346"/>
      <c r="S56" s="318"/>
      <c r="T56" s="319">
        <f t="shared" si="3"/>
        <v>0</v>
      </c>
      <c r="U56" s="265"/>
      <c r="V56" s="90"/>
      <c r="AE56" s="25"/>
      <c r="AF56" s="293"/>
    </row>
    <row r="57">
      <c r="A57" s="264"/>
      <c r="B57" s="308"/>
      <c r="C57" s="330">
        <v>10.0</v>
      </c>
      <c r="D57" s="358"/>
      <c r="E57" s="336"/>
      <c r="F57" s="338"/>
      <c r="G57" s="336"/>
      <c r="H57" s="337"/>
      <c r="I57" s="338"/>
      <c r="J57" s="339"/>
      <c r="K57" s="336"/>
      <c r="L57" s="338"/>
      <c r="M57" s="336"/>
      <c r="N57" s="337"/>
      <c r="O57" s="338"/>
      <c r="P57" s="339"/>
      <c r="Q57" s="336"/>
      <c r="R57" s="338"/>
      <c r="S57" s="336"/>
      <c r="T57" s="319">
        <f t="shared" si="3"/>
        <v>0</v>
      </c>
      <c r="U57" s="265"/>
      <c r="V57" s="90"/>
      <c r="AE57" s="25"/>
      <c r="AF57" s="293"/>
    </row>
    <row r="58">
      <c r="A58" s="264"/>
      <c r="B58" s="361"/>
      <c r="C58" s="362">
        <v>11.0</v>
      </c>
      <c r="D58" s="363"/>
      <c r="E58" s="364"/>
      <c r="F58" s="365"/>
      <c r="G58" s="364"/>
      <c r="H58" s="366"/>
      <c r="I58" s="365"/>
      <c r="J58" s="367"/>
      <c r="K58" s="364"/>
      <c r="L58" s="365"/>
      <c r="M58" s="364"/>
      <c r="N58" s="366"/>
      <c r="O58" s="365"/>
      <c r="P58" s="367"/>
      <c r="Q58" s="364"/>
      <c r="R58" s="365"/>
      <c r="S58" s="364"/>
      <c r="T58" s="319">
        <f t="shared" si="3"/>
        <v>0</v>
      </c>
      <c r="U58" s="265"/>
      <c r="V58" s="27"/>
      <c r="W58" s="22"/>
      <c r="X58" s="22"/>
      <c r="Y58" s="22"/>
      <c r="Z58" s="22"/>
      <c r="AA58" s="22"/>
      <c r="AB58" s="22"/>
      <c r="AC58" s="22"/>
      <c r="AD58" s="22"/>
      <c r="AE58" s="28"/>
      <c r="AF58" s="293"/>
    </row>
    <row r="59">
      <c r="A59" s="264"/>
      <c r="B59" s="368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</row>
    <row r="60">
      <c r="A60" s="264"/>
      <c r="B60" s="265"/>
      <c r="C60" s="294" t="s">
        <v>209</v>
      </c>
      <c r="D60" s="295"/>
      <c r="E60" s="296" t="s">
        <v>244</v>
      </c>
      <c r="F60" s="297"/>
      <c r="G60" s="297"/>
      <c r="H60" s="297"/>
      <c r="I60" s="297"/>
      <c r="J60" s="297"/>
      <c r="K60" s="297"/>
      <c r="L60" s="297"/>
      <c r="M60" s="282"/>
      <c r="N60" s="298" t="s">
        <v>211</v>
      </c>
      <c r="O60" s="268"/>
      <c r="P60" s="57"/>
      <c r="Q60" s="286" t="s">
        <v>212</v>
      </c>
      <c r="R60" s="268"/>
      <c r="S60" s="57"/>
      <c r="T60" s="292"/>
      <c r="U60" s="265"/>
      <c r="V60" s="299" t="s">
        <v>213</v>
      </c>
      <c r="W60" s="268"/>
      <c r="X60" s="268"/>
      <c r="Y60" s="268"/>
      <c r="Z60" s="268"/>
      <c r="AA60" s="57"/>
      <c r="AB60" s="300">
        <v>5.0</v>
      </c>
      <c r="AC60" s="273"/>
      <c r="AD60" s="273"/>
      <c r="AE60" s="270"/>
      <c r="AF60" s="293"/>
    </row>
    <row r="61">
      <c r="A61" s="264"/>
      <c r="B61" s="265"/>
      <c r="C61" s="301" t="s">
        <v>214</v>
      </c>
      <c r="D61" s="372">
        <v>45835.0</v>
      </c>
      <c r="E61" s="303" t="s">
        <v>215</v>
      </c>
      <c r="F61" s="22"/>
      <c r="G61" s="28"/>
      <c r="H61" s="304" t="s">
        <v>216</v>
      </c>
      <c r="I61" s="297"/>
      <c r="J61" s="282"/>
      <c r="K61" s="304" t="s">
        <v>217</v>
      </c>
      <c r="L61" s="297"/>
      <c r="M61" s="282"/>
      <c r="N61" s="304" t="s">
        <v>218</v>
      </c>
      <c r="O61" s="297"/>
      <c r="P61" s="282"/>
      <c r="Q61" s="304" t="s">
        <v>219</v>
      </c>
      <c r="R61" s="297"/>
      <c r="S61" s="282"/>
      <c r="T61" s="265"/>
      <c r="U61" s="265"/>
      <c r="V61" s="64"/>
      <c r="AA61" s="63"/>
      <c r="AE61" s="25"/>
      <c r="AF61" s="293"/>
    </row>
    <row r="62">
      <c r="A62" s="264"/>
      <c r="B62" s="305" t="s">
        <v>245</v>
      </c>
      <c r="C62" s="306" t="s">
        <v>221</v>
      </c>
      <c r="D62" s="306" t="s">
        <v>222</v>
      </c>
      <c r="E62" s="301" t="s">
        <v>223</v>
      </c>
      <c r="F62" s="301" t="s">
        <v>224</v>
      </c>
      <c r="G62" s="301" t="s">
        <v>66</v>
      </c>
      <c r="H62" s="301" t="s">
        <v>223</v>
      </c>
      <c r="I62" s="301" t="s">
        <v>224</v>
      </c>
      <c r="J62" s="301" t="s">
        <v>66</v>
      </c>
      <c r="K62" s="301" t="s">
        <v>223</v>
      </c>
      <c r="L62" s="301" t="s">
        <v>224</v>
      </c>
      <c r="M62" s="301" t="s">
        <v>66</v>
      </c>
      <c r="N62" s="301" t="s">
        <v>223</v>
      </c>
      <c r="O62" s="301" t="s">
        <v>224</v>
      </c>
      <c r="P62" s="301" t="s">
        <v>66</v>
      </c>
      <c r="Q62" s="301" t="s">
        <v>223</v>
      </c>
      <c r="R62" s="301" t="s">
        <v>224</v>
      </c>
      <c r="S62" s="301" t="s">
        <v>66</v>
      </c>
      <c r="T62" s="307" t="s">
        <v>225</v>
      </c>
      <c r="U62" s="265"/>
      <c r="V62" s="275"/>
      <c r="W62" s="276"/>
      <c r="X62" s="276"/>
      <c r="Y62" s="276"/>
      <c r="Z62" s="276"/>
      <c r="AA62" s="291"/>
      <c r="AB62" s="22"/>
      <c r="AC62" s="22"/>
      <c r="AD62" s="22"/>
      <c r="AE62" s="28"/>
      <c r="AF62" s="293"/>
    </row>
    <row r="63" ht="33.75" customHeight="1">
      <c r="A63" s="264"/>
      <c r="B63" s="308"/>
      <c r="C63" s="309">
        <v>1.0</v>
      </c>
      <c r="D63" s="386" t="s">
        <v>167</v>
      </c>
      <c r="E63" s="374">
        <v>12.0</v>
      </c>
      <c r="F63" s="375">
        <v>40.0</v>
      </c>
      <c r="G63" s="384"/>
      <c r="H63" s="376">
        <v>12.0</v>
      </c>
      <c r="I63" s="375">
        <v>40.0</v>
      </c>
      <c r="J63" s="317"/>
      <c r="K63" s="311"/>
      <c r="L63" s="312"/>
      <c r="M63" s="318"/>
      <c r="N63" s="315"/>
      <c r="O63" s="316"/>
      <c r="P63" s="317"/>
      <c r="Q63" s="318"/>
      <c r="R63" s="316"/>
      <c r="S63" s="318"/>
      <c r="T63" s="319">
        <f t="shared" ref="T63:T73" si="4">(E63*F63)+(H63*I63)+(K63*L63)+(N63*O63)+(Q63*R63)</f>
        <v>960</v>
      </c>
      <c r="U63" s="265"/>
      <c r="V63" s="320">
        <v>1.0</v>
      </c>
      <c r="W63" s="321">
        <v>2.0</v>
      </c>
      <c r="X63" s="322">
        <v>3.0</v>
      </c>
      <c r="Y63" s="323">
        <v>4.0</v>
      </c>
      <c r="Z63" s="324">
        <v>5.0</v>
      </c>
      <c r="AA63" s="325">
        <v>6.0</v>
      </c>
      <c r="AB63" s="326">
        <v>7.0</v>
      </c>
      <c r="AC63" s="327">
        <v>8.0</v>
      </c>
      <c r="AD63" s="328">
        <v>9.0</v>
      </c>
      <c r="AE63" s="329">
        <v>10.0</v>
      </c>
      <c r="AF63" s="293"/>
    </row>
    <row r="64" ht="33.75" customHeight="1">
      <c r="A64" s="264"/>
      <c r="B64" s="308"/>
      <c r="C64" s="330">
        <v>2.0</v>
      </c>
      <c r="D64" s="387" t="s">
        <v>189</v>
      </c>
      <c r="E64" s="378">
        <v>10.0</v>
      </c>
      <c r="F64" s="379">
        <v>30.0</v>
      </c>
      <c r="G64" s="380"/>
      <c r="H64" s="381">
        <v>10.0</v>
      </c>
      <c r="I64" s="379">
        <v>30.0</v>
      </c>
      <c r="J64" s="339"/>
      <c r="K64" s="332"/>
      <c r="L64" s="333"/>
      <c r="M64" s="336"/>
      <c r="N64" s="337"/>
      <c r="O64" s="338"/>
      <c r="P64" s="339"/>
      <c r="Q64" s="336"/>
      <c r="R64" s="338"/>
      <c r="S64" s="336"/>
      <c r="T64" s="319">
        <f t="shared" si="4"/>
        <v>600</v>
      </c>
      <c r="U64" s="265"/>
      <c r="V64" s="340" t="s">
        <v>227</v>
      </c>
      <c r="W64" s="268"/>
      <c r="X64" s="268"/>
      <c r="Y64" s="268"/>
      <c r="Z64" s="268"/>
      <c r="AA64" s="57"/>
      <c r="AB64" s="300">
        <v>7.0</v>
      </c>
      <c r="AC64" s="273"/>
      <c r="AD64" s="273"/>
      <c r="AE64" s="270"/>
      <c r="AF64" s="293"/>
    </row>
    <row r="65" ht="33.75" customHeight="1">
      <c r="A65" s="264"/>
      <c r="B65" s="308"/>
      <c r="C65" s="309">
        <v>3.0</v>
      </c>
      <c r="D65" s="388" t="s">
        <v>190</v>
      </c>
      <c r="E65" s="374">
        <v>12.0</v>
      </c>
      <c r="F65" s="383">
        <v>30.0</v>
      </c>
      <c r="G65" s="384"/>
      <c r="H65" s="385">
        <v>12.0</v>
      </c>
      <c r="I65" s="383">
        <v>30.0</v>
      </c>
      <c r="J65" s="344"/>
      <c r="K65" s="311"/>
      <c r="L65" s="342"/>
      <c r="M65" s="318"/>
      <c r="N65" s="345"/>
      <c r="O65" s="346"/>
      <c r="P65" s="344"/>
      <c r="Q65" s="318"/>
      <c r="R65" s="346"/>
      <c r="S65" s="318"/>
      <c r="T65" s="319">
        <f t="shared" si="4"/>
        <v>720</v>
      </c>
      <c r="U65" s="265"/>
      <c r="V65" s="64"/>
      <c r="AA65" s="63"/>
      <c r="AE65" s="25"/>
      <c r="AF65" s="293"/>
    </row>
    <row r="66" ht="33.75" customHeight="1">
      <c r="A66" s="264"/>
      <c r="B66" s="308"/>
      <c r="C66" s="330">
        <v>4.0</v>
      </c>
      <c r="D66" s="389" t="s">
        <v>191</v>
      </c>
      <c r="E66" s="378">
        <v>8.0</v>
      </c>
      <c r="F66" s="379">
        <v>40.0</v>
      </c>
      <c r="G66" s="380"/>
      <c r="H66" s="381">
        <v>8.0</v>
      </c>
      <c r="I66" s="379">
        <v>40.0</v>
      </c>
      <c r="J66" s="339"/>
      <c r="K66" s="332"/>
      <c r="L66" s="333"/>
      <c r="M66" s="336"/>
      <c r="N66" s="337"/>
      <c r="O66" s="338"/>
      <c r="P66" s="339"/>
      <c r="Q66" s="336"/>
      <c r="R66" s="338"/>
      <c r="S66" s="336"/>
      <c r="T66" s="319">
        <f t="shared" si="4"/>
        <v>640</v>
      </c>
      <c r="U66" s="265"/>
      <c r="V66" s="275"/>
      <c r="W66" s="276"/>
      <c r="X66" s="276"/>
      <c r="Y66" s="276"/>
      <c r="Z66" s="276"/>
      <c r="AA66" s="291"/>
      <c r="AB66" s="22"/>
      <c r="AC66" s="22"/>
      <c r="AD66" s="22"/>
      <c r="AE66" s="28"/>
      <c r="AF66" s="293"/>
    </row>
    <row r="67" ht="33.75" customHeight="1">
      <c r="A67" s="264"/>
      <c r="B67" s="308"/>
      <c r="C67" s="309">
        <v>5.0</v>
      </c>
      <c r="D67" s="388" t="s">
        <v>192</v>
      </c>
      <c r="E67" s="374">
        <v>10.0</v>
      </c>
      <c r="F67" s="383">
        <v>40.0</v>
      </c>
      <c r="G67" s="384"/>
      <c r="H67" s="385">
        <v>10.0</v>
      </c>
      <c r="I67" s="383">
        <v>40.0</v>
      </c>
      <c r="J67" s="344"/>
      <c r="K67" s="311"/>
      <c r="L67" s="342"/>
      <c r="M67" s="318"/>
      <c r="N67" s="343"/>
      <c r="O67" s="342"/>
      <c r="P67" s="344"/>
      <c r="Q67" s="318"/>
      <c r="R67" s="346"/>
      <c r="S67" s="318"/>
      <c r="T67" s="319">
        <f t="shared" si="4"/>
        <v>800</v>
      </c>
      <c r="U67" s="265"/>
      <c r="V67" s="347">
        <v>1.0</v>
      </c>
      <c r="W67" s="348">
        <v>2.0</v>
      </c>
      <c r="X67" s="349">
        <v>3.0</v>
      </c>
      <c r="Y67" s="350">
        <v>4.0</v>
      </c>
      <c r="Z67" s="351">
        <v>5.0</v>
      </c>
      <c r="AA67" s="352">
        <v>6.0</v>
      </c>
      <c r="AB67" s="353">
        <v>7.0</v>
      </c>
      <c r="AC67" s="354">
        <v>8.0</v>
      </c>
      <c r="AD67" s="355">
        <v>9.0</v>
      </c>
      <c r="AE67" s="356">
        <v>10.0</v>
      </c>
      <c r="AF67" s="293"/>
    </row>
    <row r="68" ht="33.75" customHeight="1">
      <c r="A68" s="264"/>
      <c r="B68" s="308"/>
      <c r="C68" s="330">
        <v>6.0</v>
      </c>
      <c r="D68" s="387" t="s">
        <v>115</v>
      </c>
      <c r="E68" s="378"/>
      <c r="F68" s="390"/>
      <c r="G68" s="380"/>
      <c r="H68" s="381"/>
      <c r="I68" s="390"/>
      <c r="J68" s="339"/>
      <c r="K68" s="332"/>
      <c r="L68" s="333"/>
      <c r="M68" s="336"/>
      <c r="N68" s="337"/>
      <c r="O68" s="338"/>
      <c r="P68" s="339"/>
      <c r="Q68" s="336"/>
      <c r="R68" s="338"/>
      <c r="S68" s="336"/>
      <c r="T68" s="319">
        <f t="shared" si="4"/>
        <v>0</v>
      </c>
      <c r="U68" s="265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</row>
    <row r="69" ht="33.75" customHeight="1">
      <c r="A69" s="264"/>
      <c r="B69" s="308"/>
      <c r="C69" s="309">
        <v>7.0</v>
      </c>
      <c r="D69" s="341"/>
      <c r="E69" s="318"/>
      <c r="F69" s="346"/>
      <c r="G69" s="318"/>
      <c r="H69" s="345"/>
      <c r="I69" s="346"/>
      <c r="J69" s="344"/>
      <c r="K69" s="318"/>
      <c r="L69" s="346"/>
      <c r="M69" s="318"/>
      <c r="N69" s="345"/>
      <c r="O69" s="346"/>
      <c r="P69" s="344"/>
      <c r="Q69" s="318"/>
      <c r="R69" s="346"/>
      <c r="S69" s="318"/>
      <c r="T69" s="319">
        <f t="shared" si="4"/>
        <v>0</v>
      </c>
      <c r="U69" s="265"/>
      <c r="V69" s="357" t="s">
        <v>231</v>
      </c>
      <c r="W69" s="268"/>
      <c r="X69" s="268"/>
      <c r="Y69" s="268"/>
      <c r="Z69" s="268"/>
      <c r="AA69" s="268"/>
      <c r="AB69" s="268"/>
      <c r="AC69" s="268"/>
      <c r="AD69" s="268"/>
      <c r="AE69" s="57"/>
      <c r="AF69" s="293"/>
    </row>
    <row r="70" ht="33.75" customHeight="1">
      <c r="A70" s="264"/>
      <c r="B70" s="308"/>
      <c r="C70" s="330">
        <v>8.0</v>
      </c>
      <c r="D70" s="358"/>
      <c r="E70" s="336"/>
      <c r="F70" s="338"/>
      <c r="G70" s="336"/>
      <c r="H70" s="337"/>
      <c r="I70" s="338"/>
      <c r="J70" s="339"/>
      <c r="K70" s="336"/>
      <c r="L70" s="338"/>
      <c r="M70" s="336"/>
      <c r="N70" s="337"/>
      <c r="O70" s="338"/>
      <c r="P70" s="339"/>
      <c r="Q70" s="336"/>
      <c r="R70" s="338"/>
      <c r="S70" s="336"/>
      <c r="T70" s="319">
        <f t="shared" si="4"/>
        <v>0</v>
      </c>
      <c r="U70" s="265"/>
      <c r="V70" s="359" t="s">
        <v>246</v>
      </c>
      <c r="W70" s="273"/>
      <c r="X70" s="273"/>
      <c r="Y70" s="273"/>
      <c r="Z70" s="273"/>
      <c r="AA70" s="273"/>
      <c r="AB70" s="273"/>
      <c r="AC70" s="273"/>
      <c r="AD70" s="273"/>
      <c r="AE70" s="270"/>
      <c r="AF70" s="293"/>
    </row>
    <row r="71" ht="33.75" customHeight="1">
      <c r="A71" s="264"/>
      <c r="B71" s="308"/>
      <c r="C71" s="309">
        <v>9.0</v>
      </c>
      <c r="D71" s="360"/>
      <c r="E71" s="318"/>
      <c r="F71" s="346"/>
      <c r="G71" s="318"/>
      <c r="H71" s="345"/>
      <c r="I71" s="346"/>
      <c r="J71" s="344"/>
      <c r="K71" s="318"/>
      <c r="L71" s="346"/>
      <c r="M71" s="318"/>
      <c r="N71" s="345"/>
      <c r="O71" s="346"/>
      <c r="P71" s="344"/>
      <c r="Q71" s="318"/>
      <c r="R71" s="346"/>
      <c r="S71" s="318"/>
      <c r="T71" s="319">
        <f t="shared" si="4"/>
        <v>0</v>
      </c>
      <c r="U71" s="265"/>
      <c r="V71" s="90"/>
      <c r="AE71" s="25"/>
      <c r="AF71" s="293"/>
    </row>
    <row r="72" ht="33.75" customHeight="1">
      <c r="A72" s="264"/>
      <c r="B72" s="308"/>
      <c r="C72" s="330">
        <v>10.0</v>
      </c>
      <c r="D72" s="358"/>
      <c r="E72" s="336"/>
      <c r="F72" s="338"/>
      <c r="G72" s="336"/>
      <c r="H72" s="337"/>
      <c r="I72" s="338"/>
      <c r="J72" s="339"/>
      <c r="K72" s="336"/>
      <c r="L72" s="338"/>
      <c r="M72" s="336"/>
      <c r="N72" s="337"/>
      <c r="O72" s="338"/>
      <c r="P72" s="339"/>
      <c r="Q72" s="336"/>
      <c r="R72" s="338"/>
      <c r="S72" s="336"/>
      <c r="T72" s="319">
        <f t="shared" si="4"/>
        <v>0</v>
      </c>
      <c r="U72" s="265"/>
      <c r="V72" s="90"/>
      <c r="AE72" s="25"/>
      <c r="AF72" s="293"/>
    </row>
    <row r="73" ht="33.75" customHeight="1">
      <c r="A73" s="264"/>
      <c r="B73" s="361"/>
      <c r="C73" s="362">
        <v>11.0</v>
      </c>
      <c r="D73" s="363"/>
      <c r="E73" s="364"/>
      <c r="F73" s="365"/>
      <c r="G73" s="364"/>
      <c r="H73" s="366"/>
      <c r="I73" s="365"/>
      <c r="J73" s="367"/>
      <c r="K73" s="364"/>
      <c r="L73" s="365"/>
      <c r="M73" s="364"/>
      <c r="N73" s="366"/>
      <c r="O73" s="365"/>
      <c r="P73" s="367"/>
      <c r="Q73" s="364"/>
      <c r="R73" s="365"/>
      <c r="S73" s="364"/>
      <c r="T73" s="319">
        <f t="shared" si="4"/>
        <v>0</v>
      </c>
      <c r="U73" s="265"/>
      <c r="V73" s="27"/>
      <c r="W73" s="22"/>
      <c r="X73" s="22"/>
      <c r="Y73" s="22"/>
      <c r="Z73" s="22"/>
      <c r="AA73" s="22"/>
      <c r="AB73" s="22"/>
      <c r="AC73" s="22"/>
      <c r="AD73" s="22"/>
      <c r="AE73" s="28"/>
      <c r="AF73" s="293"/>
    </row>
    <row r="74">
      <c r="A74" s="264"/>
      <c r="B74" s="368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92"/>
      <c r="R74" s="265"/>
      <c r="S74" s="265"/>
      <c r="T74" s="265"/>
      <c r="U74" s="265"/>
      <c r="V74" s="293"/>
      <c r="W74" s="293"/>
      <c r="X74" s="293"/>
      <c r="Y74" s="293"/>
      <c r="Z74" s="293"/>
      <c r="AA74" s="371"/>
      <c r="AB74" s="293"/>
      <c r="AC74" s="293"/>
      <c r="AD74" s="293"/>
      <c r="AE74" s="293"/>
      <c r="AF74" s="293"/>
    </row>
    <row r="75">
      <c r="A75" s="264"/>
      <c r="B75" s="265"/>
      <c r="C75" s="294" t="s">
        <v>209</v>
      </c>
      <c r="D75" s="295"/>
      <c r="E75" s="296" t="s">
        <v>233</v>
      </c>
      <c r="F75" s="297"/>
      <c r="G75" s="297"/>
      <c r="H75" s="297"/>
      <c r="I75" s="297"/>
      <c r="J75" s="297"/>
      <c r="K75" s="297"/>
      <c r="L75" s="297"/>
      <c r="M75" s="282"/>
      <c r="N75" s="298" t="s">
        <v>211</v>
      </c>
      <c r="O75" s="268"/>
      <c r="P75" s="57"/>
      <c r="Q75" s="286" t="s">
        <v>212</v>
      </c>
      <c r="R75" s="268"/>
      <c r="S75" s="57"/>
      <c r="T75" s="292"/>
      <c r="U75" s="265"/>
      <c r="V75" s="299" t="s">
        <v>213</v>
      </c>
      <c r="W75" s="268"/>
      <c r="X75" s="268"/>
      <c r="Y75" s="268"/>
      <c r="Z75" s="268"/>
      <c r="AA75" s="57"/>
      <c r="AB75" s="300">
        <v>8.0</v>
      </c>
      <c r="AC75" s="273"/>
      <c r="AD75" s="273"/>
      <c r="AE75" s="270"/>
      <c r="AF75" s="293"/>
    </row>
    <row r="76">
      <c r="A76" s="264"/>
      <c r="B76" s="265"/>
      <c r="C76" s="301" t="s">
        <v>214</v>
      </c>
      <c r="D76" s="372">
        <v>45836.0</v>
      </c>
      <c r="E76" s="303" t="s">
        <v>215</v>
      </c>
      <c r="F76" s="22"/>
      <c r="G76" s="28"/>
      <c r="H76" s="304" t="s">
        <v>216</v>
      </c>
      <c r="I76" s="297"/>
      <c r="J76" s="282"/>
      <c r="K76" s="304" t="s">
        <v>217</v>
      </c>
      <c r="L76" s="297"/>
      <c r="M76" s="282"/>
      <c r="N76" s="304" t="s">
        <v>218</v>
      </c>
      <c r="O76" s="297"/>
      <c r="P76" s="282"/>
      <c r="Q76" s="304" t="s">
        <v>219</v>
      </c>
      <c r="R76" s="297"/>
      <c r="S76" s="282"/>
      <c r="T76" s="265"/>
      <c r="U76" s="265"/>
      <c r="V76" s="64"/>
      <c r="AA76" s="63"/>
      <c r="AE76" s="25"/>
      <c r="AF76" s="293"/>
    </row>
    <row r="77">
      <c r="A77" s="264"/>
      <c r="B77" s="305" t="s">
        <v>247</v>
      </c>
      <c r="C77" s="306" t="s">
        <v>221</v>
      </c>
      <c r="D77" s="306" t="s">
        <v>222</v>
      </c>
      <c r="E77" s="301" t="s">
        <v>223</v>
      </c>
      <c r="F77" s="301" t="s">
        <v>224</v>
      </c>
      <c r="G77" s="301" t="s">
        <v>66</v>
      </c>
      <c r="H77" s="301" t="s">
        <v>223</v>
      </c>
      <c r="I77" s="301" t="s">
        <v>224</v>
      </c>
      <c r="J77" s="301" t="s">
        <v>66</v>
      </c>
      <c r="K77" s="301" t="s">
        <v>223</v>
      </c>
      <c r="L77" s="301" t="s">
        <v>224</v>
      </c>
      <c r="M77" s="301" t="s">
        <v>66</v>
      </c>
      <c r="N77" s="301" t="s">
        <v>223</v>
      </c>
      <c r="O77" s="301" t="s">
        <v>224</v>
      </c>
      <c r="P77" s="301" t="s">
        <v>66</v>
      </c>
      <c r="Q77" s="301" t="s">
        <v>223</v>
      </c>
      <c r="R77" s="301" t="s">
        <v>224</v>
      </c>
      <c r="S77" s="301" t="s">
        <v>66</v>
      </c>
      <c r="T77" s="307" t="s">
        <v>225</v>
      </c>
      <c r="U77" s="265"/>
      <c r="V77" s="275"/>
      <c r="W77" s="276"/>
      <c r="X77" s="276"/>
      <c r="Y77" s="276"/>
      <c r="Z77" s="276"/>
      <c r="AA77" s="291"/>
      <c r="AB77" s="22"/>
      <c r="AC77" s="22"/>
      <c r="AD77" s="22"/>
      <c r="AE77" s="28"/>
      <c r="AF77" s="293"/>
    </row>
    <row r="78" ht="33.75" customHeight="1">
      <c r="A78" s="264"/>
      <c r="B78" s="308"/>
      <c r="C78" s="309">
        <v>1.0</v>
      </c>
      <c r="D78" s="391" t="s">
        <v>104</v>
      </c>
      <c r="E78" s="374">
        <v>10.0</v>
      </c>
      <c r="F78" s="375">
        <v>8.0</v>
      </c>
      <c r="G78" s="384"/>
      <c r="H78" s="376">
        <v>10.0</v>
      </c>
      <c r="I78" s="375">
        <v>8.0</v>
      </c>
      <c r="J78" s="317"/>
      <c r="K78" s="392"/>
      <c r="L78" s="312"/>
      <c r="M78" s="318"/>
      <c r="N78" s="315"/>
      <c r="O78" s="316"/>
      <c r="P78" s="317"/>
      <c r="Q78" s="318"/>
      <c r="R78" s="316"/>
      <c r="S78" s="318"/>
      <c r="T78" s="393">
        <f t="shared" ref="T78:T88" si="5">(E78*F78)+(H78*I78)+(K78*L78)+(N78*O78)+(Q78*R78)</f>
        <v>160</v>
      </c>
      <c r="U78" s="265"/>
      <c r="V78" s="320">
        <v>1.0</v>
      </c>
      <c r="W78" s="321">
        <v>2.0</v>
      </c>
      <c r="X78" s="322">
        <v>3.0</v>
      </c>
      <c r="Y78" s="323">
        <v>4.0</v>
      </c>
      <c r="Z78" s="324">
        <v>5.0</v>
      </c>
      <c r="AA78" s="325">
        <v>6.0</v>
      </c>
      <c r="AB78" s="326">
        <v>7.0</v>
      </c>
      <c r="AC78" s="327">
        <v>8.0</v>
      </c>
      <c r="AD78" s="328">
        <v>9.0</v>
      </c>
      <c r="AE78" s="329">
        <v>10.0</v>
      </c>
      <c r="AF78" s="293"/>
    </row>
    <row r="79" ht="33.75" customHeight="1">
      <c r="A79" s="264"/>
      <c r="B79" s="308"/>
      <c r="C79" s="330">
        <v>2.0</v>
      </c>
      <c r="D79" s="394" t="s">
        <v>145</v>
      </c>
      <c r="E79" s="378">
        <v>10.0</v>
      </c>
      <c r="F79" s="379">
        <v>30.0</v>
      </c>
      <c r="G79" s="380"/>
      <c r="H79" s="381">
        <v>10.0</v>
      </c>
      <c r="I79" s="379">
        <v>30.0</v>
      </c>
      <c r="J79" s="339"/>
      <c r="K79" s="332"/>
      <c r="L79" s="333"/>
      <c r="M79" s="336"/>
      <c r="N79" s="337"/>
      <c r="O79" s="338"/>
      <c r="P79" s="339"/>
      <c r="Q79" s="336"/>
      <c r="R79" s="338"/>
      <c r="S79" s="336"/>
      <c r="T79" s="319">
        <f t="shared" si="5"/>
        <v>600</v>
      </c>
      <c r="U79" s="265"/>
      <c r="V79" s="340" t="s">
        <v>227</v>
      </c>
      <c r="W79" s="268"/>
      <c r="X79" s="268"/>
      <c r="Y79" s="268"/>
      <c r="Z79" s="268"/>
      <c r="AA79" s="57"/>
      <c r="AB79" s="300">
        <v>8.0</v>
      </c>
      <c r="AC79" s="273"/>
      <c r="AD79" s="273"/>
      <c r="AE79" s="270"/>
      <c r="AF79" s="293"/>
    </row>
    <row r="80" ht="33.75" customHeight="1">
      <c r="A80" s="264"/>
      <c r="B80" s="308"/>
      <c r="C80" s="309">
        <v>3.0</v>
      </c>
      <c r="D80" s="395" t="s">
        <v>146</v>
      </c>
      <c r="E80" s="374">
        <v>8.0</v>
      </c>
      <c r="F80" s="383">
        <v>26.0</v>
      </c>
      <c r="G80" s="384"/>
      <c r="H80" s="385">
        <v>8.0</v>
      </c>
      <c r="I80" s="383">
        <v>26.0</v>
      </c>
      <c r="J80" s="344"/>
      <c r="K80" s="311"/>
      <c r="L80" s="342"/>
      <c r="M80" s="318"/>
      <c r="N80" s="345"/>
      <c r="O80" s="346"/>
      <c r="P80" s="344"/>
      <c r="Q80" s="318"/>
      <c r="R80" s="346"/>
      <c r="S80" s="318"/>
      <c r="T80" s="319">
        <f t="shared" si="5"/>
        <v>416</v>
      </c>
      <c r="U80" s="265"/>
      <c r="V80" s="64"/>
      <c r="AA80" s="63"/>
      <c r="AE80" s="25"/>
      <c r="AF80" s="293"/>
    </row>
    <row r="81" ht="33.75" customHeight="1">
      <c r="A81" s="264"/>
      <c r="B81" s="308"/>
      <c r="C81" s="330">
        <v>4.0</v>
      </c>
      <c r="D81" s="396" t="s">
        <v>76</v>
      </c>
      <c r="E81" s="378">
        <v>12.0</v>
      </c>
      <c r="F81" s="379">
        <v>10.0</v>
      </c>
      <c r="G81" s="380"/>
      <c r="H81" s="381">
        <v>12.0</v>
      </c>
      <c r="I81" s="379">
        <v>10.0</v>
      </c>
      <c r="J81" s="339"/>
      <c r="K81" s="397"/>
      <c r="L81" s="333"/>
      <c r="M81" s="336"/>
      <c r="N81" s="337"/>
      <c r="O81" s="338"/>
      <c r="P81" s="339"/>
      <c r="Q81" s="336"/>
      <c r="R81" s="338"/>
      <c r="S81" s="336"/>
      <c r="T81" s="393">
        <f t="shared" si="5"/>
        <v>240</v>
      </c>
      <c r="U81" s="265"/>
      <c r="V81" s="275"/>
      <c r="W81" s="276"/>
      <c r="X81" s="276"/>
      <c r="Y81" s="276"/>
      <c r="Z81" s="276"/>
      <c r="AA81" s="291"/>
      <c r="AB81" s="22"/>
      <c r="AC81" s="22"/>
      <c r="AD81" s="22"/>
      <c r="AE81" s="28"/>
      <c r="AF81" s="293"/>
    </row>
    <row r="82" ht="33.75" customHeight="1">
      <c r="A82" s="264"/>
      <c r="B82" s="308"/>
      <c r="C82" s="309">
        <v>5.0</v>
      </c>
      <c r="D82" s="395" t="s">
        <v>147</v>
      </c>
      <c r="E82" s="374">
        <v>12.0</v>
      </c>
      <c r="F82" s="383">
        <v>7.5</v>
      </c>
      <c r="G82" s="384"/>
      <c r="H82" s="385">
        <v>12.0</v>
      </c>
      <c r="I82" s="383">
        <v>7.5</v>
      </c>
      <c r="J82" s="344"/>
      <c r="K82" s="311"/>
      <c r="L82" s="342"/>
      <c r="M82" s="318"/>
      <c r="N82" s="345"/>
      <c r="O82" s="346"/>
      <c r="P82" s="344"/>
      <c r="Q82" s="318"/>
      <c r="R82" s="346"/>
      <c r="S82" s="318"/>
      <c r="T82" s="319">
        <f t="shared" si="5"/>
        <v>180</v>
      </c>
      <c r="U82" s="265"/>
      <c r="V82" s="347">
        <v>1.0</v>
      </c>
      <c r="W82" s="348">
        <v>2.0</v>
      </c>
      <c r="X82" s="349">
        <v>3.0</v>
      </c>
      <c r="Y82" s="350">
        <v>4.0</v>
      </c>
      <c r="Z82" s="351">
        <v>5.0</v>
      </c>
      <c r="AA82" s="352">
        <v>6.0</v>
      </c>
      <c r="AB82" s="353">
        <v>7.0</v>
      </c>
      <c r="AC82" s="354">
        <v>8.0</v>
      </c>
      <c r="AD82" s="355">
        <v>9.0</v>
      </c>
      <c r="AE82" s="356">
        <v>10.0</v>
      </c>
      <c r="AF82" s="293"/>
    </row>
    <row r="83" ht="33.75" customHeight="1">
      <c r="A83" s="264"/>
      <c r="B83" s="308"/>
      <c r="C83" s="330">
        <v>6.0</v>
      </c>
      <c r="D83" s="394" t="s">
        <v>149</v>
      </c>
      <c r="E83" s="378">
        <v>12.0</v>
      </c>
      <c r="F83" s="379">
        <v>12.5</v>
      </c>
      <c r="G83" s="380"/>
      <c r="H83" s="381">
        <v>10.0</v>
      </c>
      <c r="I83" s="379">
        <v>15.0</v>
      </c>
      <c r="J83" s="339"/>
      <c r="K83" s="332"/>
      <c r="L83" s="333"/>
      <c r="M83" s="336"/>
      <c r="N83" s="337"/>
      <c r="O83" s="338"/>
      <c r="P83" s="339"/>
      <c r="Q83" s="336"/>
      <c r="R83" s="338"/>
      <c r="S83" s="336"/>
      <c r="T83" s="319">
        <f t="shared" si="5"/>
        <v>300</v>
      </c>
      <c r="U83" s="265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</row>
    <row r="84" ht="33.75" customHeight="1">
      <c r="A84" s="264"/>
      <c r="B84" s="308"/>
      <c r="C84" s="309">
        <v>7.0</v>
      </c>
      <c r="D84" s="395" t="s">
        <v>151</v>
      </c>
      <c r="E84" s="374">
        <v>12.0</v>
      </c>
      <c r="F84" s="383">
        <v>7.5</v>
      </c>
      <c r="G84" s="384"/>
      <c r="H84" s="385">
        <v>12.0</v>
      </c>
      <c r="I84" s="383">
        <v>7.5</v>
      </c>
      <c r="J84" s="344"/>
      <c r="K84" s="311"/>
      <c r="L84" s="342"/>
      <c r="M84" s="318"/>
      <c r="N84" s="345"/>
      <c r="O84" s="346"/>
      <c r="P84" s="344"/>
      <c r="Q84" s="318"/>
      <c r="R84" s="346"/>
      <c r="S84" s="318"/>
      <c r="T84" s="319">
        <f t="shared" si="5"/>
        <v>180</v>
      </c>
      <c r="U84" s="265"/>
      <c r="V84" s="357" t="s">
        <v>231</v>
      </c>
      <c r="W84" s="268"/>
      <c r="X84" s="268"/>
      <c r="Y84" s="268"/>
      <c r="Z84" s="268"/>
      <c r="AA84" s="268"/>
      <c r="AB84" s="268"/>
      <c r="AC84" s="268"/>
      <c r="AD84" s="268"/>
      <c r="AE84" s="57"/>
      <c r="AF84" s="293"/>
    </row>
    <row r="85" ht="33.75" customHeight="1">
      <c r="A85" s="264"/>
      <c r="B85" s="308"/>
      <c r="C85" s="330">
        <v>8.0</v>
      </c>
      <c r="D85" s="358"/>
      <c r="E85" s="336"/>
      <c r="F85" s="338"/>
      <c r="G85" s="336"/>
      <c r="H85" s="337"/>
      <c r="I85" s="338"/>
      <c r="J85" s="339"/>
      <c r="K85" s="336"/>
      <c r="L85" s="338"/>
      <c r="M85" s="336"/>
      <c r="N85" s="337"/>
      <c r="O85" s="338"/>
      <c r="P85" s="339"/>
      <c r="Q85" s="336"/>
      <c r="R85" s="338"/>
      <c r="S85" s="336"/>
      <c r="T85" s="319">
        <f t="shared" si="5"/>
        <v>0</v>
      </c>
      <c r="U85" s="265"/>
      <c r="V85" s="370"/>
      <c r="W85" s="273"/>
      <c r="X85" s="273"/>
      <c r="Y85" s="273"/>
      <c r="Z85" s="273"/>
      <c r="AA85" s="273"/>
      <c r="AB85" s="273"/>
      <c r="AC85" s="273"/>
      <c r="AD85" s="273"/>
      <c r="AE85" s="270"/>
      <c r="AF85" s="293"/>
    </row>
    <row r="86" ht="33.75" customHeight="1">
      <c r="A86" s="264"/>
      <c r="B86" s="308"/>
      <c r="C86" s="309">
        <v>9.0</v>
      </c>
      <c r="D86" s="360"/>
      <c r="E86" s="318"/>
      <c r="F86" s="346"/>
      <c r="G86" s="318"/>
      <c r="H86" s="345"/>
      <c r="I86" s="346"/>
      <c r="J86" s="344"/>
      <c r="K86" s="318"/>
      <c r="L86" s="346"/>
      <c r="M86" s="318"/>
      <c r="N86" s="345"/>
      <c r="O86" s="346"/>
      <c r="P86" s="344"/>
      <c r="Q86" s="318"/>
      <c r="R86" s="346"/>
      <c r="S86" s="318"/>
      <c r="T86" s="319">
        <f t="shared" si="5"/>
        <v>0</v>
      </c>
      <c r="U86" s="265"/>
      <c r="V86" s="90"/>
      <c r="AE86" s="25"/>
      <c r="AF86" s="293"/>
    </row>
    <row r="87" ht="33.75" customHeight="1">
      <c r="A87" s="264"/>
      <c r="B87" s="308"/>
      <c r="C87" s="330">
        <v>10.0</v>
      </c>
      <c r="D87" s="358"/>
      <c r="E87" s="336"/>
      <c r="F87" s="338"/>
      <c r="G87" s="336"/>
      <c r="H87" s="337"/>
      <c r="I87" s="338"/>
      <c r="J87" s="339"/>
      <c r="K87" s="336"/>
      <c r="L87" s="338"/>
      <c r="M87" s="336"/>
      <c r="N87" s="337"/>
      <c r="O87" s="338"/>
      <c r="P87" s="339"/>
      <c r="Q87" s="336"/>
      <c r="R87" s="338"/>
      <c r="S87" s="336"/>
      <c r="T87" s="319">
        <f t="shared" si="5"/>
        <v>0</v>
      </c>
      <c r="U87" s="265"/>
      <c r="V87" s="90"/>
      <c r="AE87" s="25"/>
      <c r="AF87" s="293"/>
    </row>
    <row r="88" ht="33.75" customHeight="1">
      <c r="A88" s="264"/>
      <c r="B88" s="361"/>
      <c r="C88" s="362">
        <v>11.0</v>
      </c>
      <c r="D88" s="363"/>
      <c r="E88" s="364"/>
      <c r="F88" s="365"/>
      <c r="G88" s="364"/>
      <c r="H88" s="366"/>
      <c r="I88" s="365"/>
      <c r="J88" s="367"/>
      <c r="K88" s="364"/>
      <c r="L88" s="365"/>
      <c r="M88" s="364"/>
      <c r="N88" s="366"/>
      <c r="O88" s="365"/>
      <c r="P88" s="367"/>
      <c r="Q88" s="364"/>
      <c r="R88" s="365"/>
      <c r="S88" s="364"/>
      <c r="T88" s="319">
        <f t="shared" si="5"/>
        <v>0</v>
      </c>
      <c r="U88" s="265"/>
      <c r="V88" s="27"/>
      <c r="W88" s="22"/>
      <c r="X88" s="22"/>
      <c r="Y88" s="22"/>
      <c r="Z88" s="22"/>
      <c r="AA88" s="22"/>
      <c r="AB88" s="22"/>
      <c r="AC88" s="22"/>
      <c r="AD88" s="22"/>
      <c r="AE88" s="28"/>
      <c r="AF88" s="293"/>
    </row>
    <row r="89">
      <c r="A89" s="264"/>
      <c r="B89" s="368"/>
      <c r="C89" s="265"/>
      <c r="D89" s="265"/>
      <c r="E89" s="265"/>
      <c r="F89" s="265"/>
      <c r="G89" s="265"/>
      <c r="H89" s="265"/>
      <c r="I89" s="265"/>
      <c r="J89" s="29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</row>
    <row r="90">
      <c r="A90" s="264"/>
      <c r="B90" s="265"/>
      <c r="C90" s="294" t="s">
        <v>209</v>
      </c>
      <c r="D90" s="295"/>
      <c r="E90" s="296" t="s">
        <v>248</v>
      </c>
      <c r="F90" s="297"/>
      <c r="G90" s="297"/>
      <c r="H90" s="297"/>
      <c r="I90" s="297"/>
      <c r="J90" s="297"/>
      <c r="K90" s="297"/>
      <c r="L90" s="297"/>
      <c r="M90" s="282"/>
      <c r="N90" s="298" t="s">
        <v>211</v>
      </c>
      <c r="O90" s="268"/>
      <c r="P90" s="57"/>
      <c r="Q90" s="286" t="s">
        <v>212</v>
      </c>
      <c r="R90" s="268"/>
      <c r="S90" s="57"/>
      <c r="T90" s="292"/>
      <c r="U90" s="265"/>
      <c r="V90" s="299" t="s">
        <v>213</v>
      </c>
      <c r="W90" s="268"/>
      <c r="X90" s="268"/>
      <c r="Y90" s="268"/>
      <c r="Z90" s="268"/>
      <c r="AA90" s="57"/>
      <c r="AB90" s="300">
        <v>10.0</v>
      </c>
      <c r="AC90" s="273"/>
      <c r="AD90" s="273"/>
      <c r="AE90" s="270"/>
      <c r="AF90" s="293"/>
    </row>
    <row r="91">
      <c r="A91" s="264"/>
      <c r="B91" s="265"/>
      <c r="C91" s="301" t="s">
        <v>214</v>
      </c>
      <c r="D91" s="372">
        <v>45838.0</v>
      </c>
      <c r="E91" s="303" t="s">
        <v>215</v>
      </c>
      <c r="F91" s="22"/>
      <c r="G91" s="28"/>
      <c r="H91" s="304" t="s">
        <v>216</v>
      </c>
      <c r="I91" s="297"/>
      <c r="J91" s="282"/>
      <c r="K91" s="304" t="s">
        <v>217</v>
      </c>
      <c r="L91" s="297"/>
      <c r="M91" s="282"/>
      <c r="N91" s="304" t="s">
        <v>218</v>
      </c>
      <c r="O91" s="297"/>
      <c r="P91" s="282"/>
      <c r="Q91" s="304" t="s">
        <v>219</v>
      </c>
      <c r="R91" s="297"/>
      <c r="S91" s="282"/>
      <c r="T91" s="265"/>
      <c r="U91" s="265"/>
      <c r="V91" s="64"/>
      <c r="AA91" s="63"/>
      <c r="AE91" s="25"/>
      <c r="AF91" s="293"/>
    </row>
    <row r="92">
      <c r="A92" s="264"/>
      <c r="B92" s="305" t="s">
        <v>249</v>
      </c>
      <c r="C92" s="306" t="s">
        <v>221</v>
      </c>
      <c r="D92" s="306" t="s">
        <v>222</v>
      </c>
      <c r="E92" s="301" t="s">
        <v>223</v>
      </c>
      <c r="F92" s="301" t="s">
        <v>224</v>
      </c>
      <c r="G92" s="301" t="s">
        <v>66</v>
      </c>
      <c r="H92" s="301" t="s">
        <v>223</v>
      </c>
      <c r="I92" s="301" t="s">
        <v>224</v>
      </c>
      <c r="J92" s="301" t="s">
        <v>66</v>
      </c>
      <c r="K92" s="301" t="s">
        <v>223</v>
      </c>
      <c r="L92" s="301" t="s">
        <v>224</v>
      </c>
      <c r="M92" s="301" t="s">
        <v>66</v>
      </c>
      <c r="N92" s="301" t="s">
        <v>223</v>
      </c>
      <c r="O92" s="301" t="s">
        <v>224</v>
      </c>
      <c r="P92" s="301" t="s">
        <v>66</v>
      </c>
      <c r="Q92" s="301" t="s">
        <v>223</v>
      </c>
      <c r="R92" s="301" t="s">
        <v>224</v>
      </c>
      <c r="S92" s="301" t="s">
        <v>66</v>
      </c>
      <c r="T92" s="307" t="s">
        <v>225</v>
      </c>
      <c r="U92" s="265"/>
      <c r="V92" s="275"/>
      <c r="W92" s="276"/>
      <c r="X92" s="276"/>
      <c r="Y92" s="276"/>
      <c r="Z92" s="276"/>
      <c r="AA92" s="291"/>
      <c r="AB92" s="22"/>
      <c r="AC92" s="22"/>
      <c r="AD92" s="22"/>
      <c r="AE92" s="28"/>
      <c r="AF92" s="293"/>
    </row>
    <row r="93" ht="33.75" customHeight="1">
      <c r="A93" s="264"/>
      <c r="B93" s="308"/>
      <c r="C93" s="309">
        <v>1.0</v>
      </c>
      <c r="D93" s="398" t="s">
        <v>130</v>
      </c>
      <c r="E93" s="374">
        <v>12.0</v>
      </c>
      <c r="F93" s="375">
        <v>8.0</v>
      </c>
      <c r="G93" s="384"/>
      <c r="H93" s="376">
        <v>10.0</v>
      </c>
      <c r="I93" s="375">
        <v>10.0</v>
      </c>
      <c r="J93" s="317"/>
      <c r="K93" s="311"/>
      <c r="L93" s="312"/>
      <c r="M93" s="318"/>
      <c r="N93" s="315"/>
      <c r="O93" s="316"/>
      <c r="P93" s="317"/>
      <c r="Q93" s="318"/>
      <c r="R93" s="316"/>
      <c r="S93" s="318"/>
      <c r="T93" s="319">
        <f t="shared" ref="T93:T103" si="6">(E93*F93)+(H93*I93)+(K93*L93)+(N93*O93)+(Q93*R93)</f>
        <v>196</v>
      </c>
      <c r="U93" s="265"/>
      <c r="V93" s="320">
        <v>1.0</v>
      </c>
      <c r="W93" s="321">
        <v>2.0</v>
      </c>
      <c r="X93" s="322">
        <v>3.0</v>
      </c>
      <c r="Y93" s="323">
        <v>4.0</v>
      </c>
      <c r="Z93" s="324">
        <v>5.0</v>
      </c>
      <c r="AA93" s="325">
        <v>6.0</v>
      </c>
      <c r="AB93" s="326">
        <v>7.0</v>
      </c>
      <c r="AC93" s="327">
        <v>8.0</v>
      </c>
      <c r="AD93" s="328">
        <v>9.0</v>
      </c>
      <c r="AE93" s="329">
        <v>10.0</v>
      </c>
      <c r="AF93" s="293"/>
    </row>
    <row r="94" ht="33.75" customHeight="1">
      <c r="A94" s="264"/>
      <c r="B94" s="308"/>
      <c r="C94" s="330">
        <v>2.0</v>
      </c>
      <c r="D94" s="399" t="s">
        <v>183</v>
      </c>
      <c r="E94" s="378">
        <v>16.0</v>
      </c>
      <c r="F94" s="379">
        <v>7.5</v>
      </c>
      <c r="G94" s="380"/>
      <c r="H94" s="381">
        <v>12.0</v>
      </c>
      <c r="I94" s="379">
        <v>10.0</v>
      </c>
      <c r="J94" s="339"/>
      <c r="K94" s="332"/>
      <c r="L94" s="333"/>
      <c r="M94" s="336"/>
      <c r="N94" s="337"/>
      <c r="O94" s="338"/>
      <c r="P94" s="339"/>
      <c r="Q94" s="336"/>
      <c r="R94" s="338"/>
      <c r="S94" s="336"/>
      <c r="T94" s="319">
        <f t="shared" si="6"/>
        <v>240</v>
      </c>
      <c r="U94" s="265"/>
      <c r="V94" s="340" t="s">
        <v>227</v>
      </c>
      <c r="W94" s="268"/>
      <c r="X94" s="268"/>
      <c r="Y94" s="268"/>
      <c r="Z94" s="268"/>
      <c r="AA94" s="57"/>
      <c r="AB94" s="300">
        <v>8.0</v>
      </c>
      <c r="AC94" s="273"/>
      <c r="AD94" s="273"/>
      <c r="AE94" s="270"/>
      <c r="AF94" s="293"/>
    </row>
    <row r="95" ht="33.75" customHeight="1">
      <c r="A95" s="264"/>
      <c r="B95" s="308"/>
      <c r="C95" s="309">
        <v>3.0</v>
      </c>
      <c r="D95" s="400" t="s">
        <v>131</v>
      </c>
      <c r="E95" s="374">
        <v>12.0</v>
      </c>
      <c r="F95" s="383">
        <v>40.0</v>
      </c>
      <c r="G95" s="384"/>
      <c r="H95" s="385">
        <v>10.0</v>
      </c>
      <c r="I95" s="383">
        <v>45.0</v>
      </c>
      <c r="J95" s="344"/>
      <c r="K95" s="311"/>
      <c r="L95" s="342"/>
      <c r="M95" s="318"/>
      <c r="N95" s="345"/>
      <c r="O95" s="346"/>
      <c r="P95" s="344"/>
      <c r="Q95" s="318"/>
      <c r="R95" s="346"/>
      <c r="S95" s="318"/>
      <c r="T95" s="319">
        <f t="shared" si="6"/>
        <v>930</v>
      </c>
      <c r="U95" s="265"/>
      <c r="V95" s="64"/>
      <c r="AA95" s="63"/>
      <c r="AE95" s="25"/>
      <c r="AF95" s="293"/>
    </row>
    <row r="96" ht="33.75" customHeight="1">
      <c r="A96" s="264"/>
      <c r="B96" s="308"/>
      <c r="C96" s="330">
        <v>4.0</v>
      </c>
      <c r="D96" s="401" t="s">
        <v>106</v>
      </c>
      <c r="E96" s="378">
        <v>10.0</v>
      </c>
      <c r="F96" s="379">
        <v>30.0</v>
      </c>
      <c r="G96" s="380"/>
      <c r="H96" s="381">
        <v>8.0</v>
      </c>
      <c r="I96" s="379">
        <v>30.0</v>
      </c>
      <c r="J96" s="339"/>
      <c r="K96" s="332"/>
      <c r="L96" s="333"/>
      <c r="M96" s="336"/>
      <c r="N96" s="334"/>
      <c r="O96" s="333"/>
      <c r="P96" s="339"/>
      <c r="Q96" s="336"/>
      <c r="R96" s="338"/>
      <c r="S96" s="336"/>
      <c r="T96" s="319">
        <f t="shared" si="6"/>
        <v>540</v>
      </c>
      <c r="U96" s="265"/>
      <c r="V96" s="275"/>
      <c r="W96" s="276"/>
      <c r="X96" s="276"/>
      <c r="Y96" s="276"/>
      <c r="Z96" s="276"/>
      <c r="AA96" s="291"/>
      <c r="AB96" s="22"/>
      <c r="AC96" s="22"/>
      <c r="AD96" s="22"/>
      <c r="AE96" s="28"/>
      <c r="AF96" s="293"/>
    </row>
    <row r="97" ht="33.75" customHeight="1">
      <c r="A97" s="264"/>
      <c r="B97" s="308"/>
      <c r="C97" s="309">
        <v>5.0</v>
      </c>
      <c r="D97" s="400" t="s">
        <v>185</v>
      </c>
      <c r="E97" s="374">
        <v>10.0</v>
      </c>
      <c r="F97" s="383">
        <v>30.0</v>
      </c>
      <c r="G97" s="384"/>
      <c r="H97" s="385">
        <v>10.0</v>
      </c>
      <c r="I97" s="383">
        <v>30.0</v>
      </c>
      <c r="J97" s="344"/>
      <c r="K97" s="311"/>
      <c r="L97" s="342"/>
      <c r="M97" s="318"/>
      <c r="N97" s="345"/>
      <c r="O97" s="346"/>
      <c r="P97" s="344"/>
      <c r="Q97" s="318"/>
      <c r="R97" s="346"/>
      <c r="S97" s="318"/>
      <c r="T97" s="319">
        <f t="shared" si="6"/>
        <v>600</v>
      </c>
      <c r="U97" s="265"/>
      <c r="V97" s="347">
        <v>1.0</v>
      </c>
      <c r="W97" s="348">
        <v>2.0</v>
      </c>
      <c r="X97" s="349">
        <v>3.0</v>
      </c>
      <c r="Y97" s="350">
        <v>4.0</v>
      </c>
      <c r="Z97" s="351">
        <v>5.0</v>
      </c>
      <c r="AA97" s="352">
        <v>6.0</v>
      </c>
      <c r="AB97" s="353">
        <v>7.0</v>
      </c>
      <c r="AC97" s="354">
        <v>8.0</v>
      </c>
      <c r="AD97" s="355">
        <v>9.0</v>
      </c>
      <c r="AE97" s="356">
        <v>10.0</v>
      </c>
      <c r="AF97" s="293"/>
    </row>
    <row r="98" ht="33.75" customHeight="1">
      <c r="A98" s="264"/>
      <c r="B98" s="308"/>
      <c r="C98" s="330">
        <v>6.0</v>
      </c>
      <c r="D98" s="399" t="s">
        <v>186</v>
      </c>
      <c r="E98" s="378">
        <v>10.0</v>
      </c>
      <c r="F98" s="379">
        <v>30.0</v>
      </c>
      <c r="G98" s="380"/>
      <c r="H98" s="381">
        <v>10.0</v>
      </c>
      <c r="I98" s="379">
        <v>30.0</v>
      </c>
      <c r="J98" s="339"/>
      <c r="K98" s="336"/>
      <c r="L98" s="338"/>
      <c r="M98" s="336"/>
      <c r="N98" s="337"/>
      <c r="O98" s="338"/>
      <c r="P98" s="339"/>
      <c r="Q98" s="336"/>
      <c r="R98" s="338"/>
      <c r="S98" s="336"/>
      <c r="T98" s="319">
        <f t="shared" si="6"/>
        <v>600</v>
      </c>
      <c r="U98" s="265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</row>
    <row r="99" ht="33.75" customHeight="1">
      <c r="A99" s="264"/>
      <c r="B99" s="308"/>
      <c r="C99" s="309">
        <v>7.0</v>
      </c>
      <c r="D99" s="400" t="s">
        <v>187</v>
      </c>
      <c r="E99" s="374">
        <v>8.0</v>
      </c>
      <c r="F99" s="383">
        <v>20.0</v>
      </c>
      <c r="G99" s="384"/>
      <c r="H99" s="385">
        <v>8.0</v>
      </c>
      <c r="I99" s="383">
        <v>20.0</v>
      </c>
      <c r="J99" s="344"/>
      <c r="K99" s="318"/>
      <c r="L99" s="346"/>
      <c r="M99" s="318"/>
      <c r="N99" s="345"/>
      <c r="O99" s="346"/>
      <c r="P99" s="344"/>
      <c r="Q99" s="318"/>
      <c r="R99" s="346"/>
      <c r="S99" s="318"/>
      <c r="T99" s="319">
        <f t="shared" si="6"/>
        <v>320</v>
      </c>
      <c r="U99" s="265"/>
      <c r="V99" s="357" t="s">
        <v>231</v>
      </c>
      <c r="W99" s="268"/>
      <c r="X99" s="268"/>
      <c r="Y99" s="268"/>
      <c r="Z99" s="268"/>
      <c r="AA99" s="268"/>
      <c r="AB99" s="268"/>
      <c r="AC99" s="268"/>
      <c r="AD99" s="268"/>
      <c r="AE99" s="57"/>
      <c r="AF99" s="293"/>
    </row>
    <row r="100" ht="33.75" customHeight="1">
      <c r="A100" s="264"/>
      <c r="B100" s="308"/>
      <c r="C100" s="330">
        <v>8.0</v>
      </c>
      <c r="D100" s="358"/>
      <c r="E100" s="336"/>
      <c r="F100" s="338"/>
      <c r="G100" s="336"/>
      <c r="H100" s="337"/>
      <c r="I100" s="338"/>
      <c r="J100" s="339"/>
      <c r="K100" s="336"/>
      <c r="L100" s="338"/>
      <c r="M100" s="336"/>
      <c r="N100" s="337"/>
      <c r="O100" s="338"/>
      <c r="P100" s="339"/>
      <c r="Q100" s="336"/>
      <c r="R100" s="338"/>
      <c r="S100" s="336"/>
      <c r="T100" s="319">
        <f t="shared" si="6"/>
        <v>0</v>
      </c>
      <c r="U100" s="265"/>
      <c r="V100" s="370"/>
      <c r="W100" s="273"/>
      <c r="X100" s="273"/>
      <c r="Y100" s="273"/>
      <c r="Z100" s="273"/>
      <c r="AA100" s="273"/>
      <c r="AB100" s="273"/>
      <c r="AC100" s="273"/>
      <c r="AD100" s="273"/>
      <c r="AE100" s="270"/>
      <c r="AF100" s="293"/>
    </row>
    <row r="101" ht="33.75" customHeight="1">
      <c r="A101" s="264"/>
      <c r="B101" s="308"/>
      <c r="C101" s="309">
        <v>9.0</v>
      </c>
      <c r="D101" s="360"/>
      <c r="E101" s="318"/>
      <c r="F101" s="346"/>
      <c r="G101" s="318"/>
      <c r="H101" s="345"/>
      <c r="I101" s="346"/>
      <c r="J101" s="344"/>
      <c r="K101" s="318"/>
      <c r="L101" s="346"/>
      <c r="M101" s="318"/>
      <c r="N101" s="345"/>
      <c r="O101" s="346"/>
      <c r="P101" s="344"/>
      <c r="Q101" s="318"/>
      <c r="R101" s="346"/>
      <c r="S101" s="318"/>
      <c r="T101" s="319">
        <f t="shared" si="6"/>
        <v>0</v>
      </c>
      <c r="U101" s="265"/>
      <c r="V101" s="90"/>
      <c r="AE101" s="25"/>
      <c r="AF101" s="293"/>
    </row>
    <row r="102" ht="33.75" customHeight="1">
      <c r="A102" s="264"/>
      <c r="B102" s="308"/>
      <c r="C102" s="330">
        <v>10.0</v>
      </c>
      <c r="D102" s="358"/>
      <c r="E102" s="336"/>
      <c r="F102" s="338"/>
      <c r="G102" s="336"/>
      <c r="H102" s="337"/>
      <c r="I102" s="338"/>
      <c r="J102" s="339"/>
      <c r="K102" s="336"/>
      <c r="L102" s="338"/>
      <c r="M102" s="336"/>
      <c r="N102" s="337"/>
      <c r="O102" s="338"/>
      <c r="P102" s="339"/>
      <c r="Q102" s="336"/>
      <c r="R102" s="338"/>
      <c r="S102" s="336"/>
      <c r="T102" s="319">
        <f t="shared" si="6"/>
        <v>0</v>
      </c>
      <c r="U102" s="265"/>
      <c r="V102" s="90"/>
      <c r="AE102" s="25"/>
      <c r="AF102" s="293"/>
    </row>
    <row r="103" ht="33.75" customHeight="1">
      <c r="A103" s="264"/>
      <c r="B103" s="361"/>
      <c r="C103" s="362">
        <v>11.0</v>
      </c>
      <c r="D103" s="363"/>
      <c r="E103" s="364"/>
      <c r="F103" s="365"/>
      <c r="G103" s="364"/>
      <c r="H103" s="366"/>
      <c r="I103" s="365"/>
      <c r="J103" s="367"/>
      <c r="K103" s="364"/>
      <c r="L103" s="365"/>
      <c r="M103" s="364"/>
      <c r="N103" s="366"/>
      <c r="O103" s="365"/>
      <c r="P103" s="367"/>
      <c r="Q103" s="364"/>
      <c r="R103" s="365"/>
      <c r="S103" s="364"/>
      <c r="T103" s="319">
        <f t="shared" si="6"/>
        <v>0</v>
      </c>
      <c r="U103" s="265"/>
      <c r="V103" s="27"/>
      <c r="W103" s="22"/>
      <c r="X103" s="22"/>
      <c r="Y103" s="22"/>
      <c r="Z103" s="22"/>
      <c r="AA103" s="22"/>
      <c r="AB103" s="22"/>
      <c r="AC103" s="22"/>
      <c r="AD103" s="22"/>
      <c r="AE103" s="28"/>
      <c r="AF103" s="265"/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9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</row>
    <row r="105">
      <c r="A105" s="265"/>
      <c r="B105" s="265"/>
      <c r="C105" s="294" t="s">
        <v>209</v>
      </c>
      <c r="D105" s="295"/>
      <c r="E105" s="296" t="s">
        <v>210</v>
      </c>
      <c r="F105" s="297"/>
      <c r="G105" s="297"/>
      <c r="H105" s="297"/>
      <c r="I105" s="297"/>
      <c r="J105" s="297"/>
      <c r="K105" s="297"/>
      <c r="L105" s="297"/>
      <c r="M105" s="282"/>
      <c r="N105" s="298" t="s">
        <v>211</v>
      </c>
      <c r="O105" s="268"/>
      <c r="P105" s="57"/>
      <c r="Q105" s="286"/>
      <c r="R105" s="268"/>
      <c r="S105" s="57"/>
      <c r="T105" s="292"/>
      <c r="U105" s="265"/>
      <c r="V105" s="299" t="s">
        <v>213</v>
      </c>
      <c r="W105" s="268"/>
      <c r="X105" s="268"/>
      <c r="Y105" s="268"/>
      <c r="Z105" s="268"/>
      <c r="AA105" s="57"/>
      <c r="AB105" s="300">
        <v>7.0</v>
      </c>
      <c r="AC105" s="273"/>
      <c r="AD105" s="273"/>
      <c r="AE105" s="270"/>
      <c r="AF105" s="265"/>
    </row>
    <row r="106">
      <c r="A106" s="402"/>
      <c r="B106" s="265"/>
      <c r="C106" s="301" t="s">
        <v>214</v>
      </c>
      <c r="D106" s="403" t="s">
        <v>250</v>
      </c>
      <c r="E106" s="303" t="s">
        <v>215</v>
      </c>
      <c r="F106" s="22"/>
      <c r="G106" s="28"/>
      <c r="H106" s="304" t="s">
        <v>216</v>
      </c>
      <c r="I106" s="297"/>
      <c r="J106" s="282"/>
      <c r="K106" s="304" t="s">
        <v>217</v>
      </c>
      <c r="L106" s="297"/>
      <c r="M106" s="282"/>
      <c r="N106" s="304" t="s">
        <v>218</v>
      </c>
      <c r="O106" s="297"/>
      <c r="P106" s="282"/>
      <c r="Q106" s="304" t="s">
        <v>219</v>
      </c>
      <c r="R106" s="297"/>
      <c r="S106" s="282"/>
      <c r="T106" s="265"/>
      <c r="U106" s="265"/>
      <c r="V106" s="64"/>
      <c r="AA106" s="63"/>
      <c r="AE106" s="25"/>
      <c r="AF106" s="402"/>
    </row>
    <row r="107">
      <c r="A107" s="402"/>
      <c r="B107" s="305" t="s">
        <v>251</v>
      </c>
      <c r="C107" s="306" t="s">
        <v>221</v>
      </c>
      <c r="D107" s="306" t="s">
        <v>222</v>
      </c>
      <c r="E107" s="301" t="s">
        <v>223</v>
      </c>
      <c r="F107" s="301" t="s">
        <v>224</v>
      </c>
      <c r="G107" s="301" t="s">
        <v>66</v>
      </c>
      <c r="H107" s="301" t="s">
        <v>223</v>
      </c>
      <c r="I107" s="301" t="s">
        <v>224</v>
      </c>
      <c r="J107" s="301" t="s">
        <v>66</v>
      </c>
      <c r="K107" s="301" t="s">
        <v>223</v>
      </c>
      <c r="L107" s="301" t="s">
        <v>224</v>
      </c>
      <c r="M107" s="301" t="s">
        <v>66</v>
      </c>
      <c r="N107" s="301" t="s">
        <v>223</v>
      </c>
      <c r="O107" s="301" t="s">
        <v>224</v>
      </c>
      <c r="P107" s="301" t="s">
        <v>66</v>
      </c>
      <c r="Q107" s="301" t="s">
        <v>223</v>
      </c>
      <c r="R107" s="301" t="s">
        <v>224</v>
      </c>
      <c r="S107" s="301" t="s">
        <v>66</v>
      </c>
      <c r="T107" s="307" t="s">
        <v>225</v>
      </c>
      <c r="U107" s="265"/>
      <c r="V107" s="275"/>
      <c r="W107" s="276"/>
      <c r="X107" s="276"/>
      <c r="Y107" s="276"/>
      <c r="Z107" s="276"/>
      <c r="AA107" s="291"/>
      <c r="AB107" s="22"/>
      <c r="AC107" s="22"/>
      <c r="AD107" s="22"/>
      <c r="AE107" s="28"/>
      <c r="AF107" s="402"/>
    </row>
    <row r="108" ht="33.75" customHeight="1">
      <c r="A108" s="264"/>
      <c r="B108" s="308"/>
      <c r="C108" s="309">
        <v>1.0</v>
      </c>
      <c r="D108" s="398" t="s">
        <v>167</v>
      </c>
      <c r="E108" s="311">
        <v>12.0</v>
      </c>
      <c r="F108" s="312">
        <v>40.0</v>
      </c>
      <c r="G108" s="318"/>
      <c r="H108" s="313">
        <v>11.0</v>
      </c>
      <c r="I108" s="312">
        <v>40.0</v>
      </c>
      <c r="J108" s="317"/>
      <c r="K108" s="318"/>
      <c r="L108" s="316"/>
      <c r="M108" s="318"/>
      <c r="N108" s="315"/>
      <c r="O108" s="316"/>
      <c r="P108" s="317"/>
      <c r="Q108" s="318"/>
      <c r="R108" s="316"/>
      <c r="S108" s="318"/>
      <c r="T108" s="319">
        <f t="shared" ref="T108:T118" si="7">(E108*F108)+(H108*I108)+(K108*L108)+(N108*O108)+(Q108*R108)</f>
        <v>920</v>
      </c>
      <c r="U108" s="265"/>
      <c r="V108" s="320">
        <v>1.0</v>
      </c>
      <c r="W108" s="321">
        <v>2.0</v>
      </c>
      <c r="X108" s="322">
        <v>3.0</v>
      </c>
      <c r="Y108" s="323">
        <v>4.0</v>
      </c>
      <c r="Z108" s="324">
        <v>5.0</v>
      </c>
      <c r="AA108" s="325">
        <v>6.0</v>
      </c>
      <c r="AB108" s="326">
        <v>7.0</v>
      </c>
      <c r="AC108" s="327">
        <v>8.0</v>
      </c>
      <c r="AD108" s="328">
        <v>9.0</v>
      </c>
      <c r="AE108" s="329">
        <v>10.0</v>
      </c>
      <c r="AF108" s="37"/>
    </row>
    <row r="109" ht="33.75" customHeight="1">
      <c r="A109" s="264"/>
      <c r="B109" s="308"/>
      <c r="C109" s="330">
        <v>2.0</v>
      </c>
      <c r="D109" s="399" t="s">
        <v>169</v>
      </c>
      <c r="E109" s="332">
        <v>10.0</v>
      </c>
      <c r="F109" s="333">
        <v>10.0</v>
      </c>
      <c r="G109" s="336"/>
      <c r="H109" s="334">
        <v>9.0</v>
      </c>
      <c r="I109" s="333">
        <v>10.0</v>
      </c>
      <c r="J109" s="339"/>
      <c r="K109" s="336"/>
      <c r="L109" s="338"/>
      <c r="M109" s="336"/>
      <c r="N109" s="337"/>
      <c r="O109" s="338"/>
      <c r="P109" s="339"/>
      <c r="Q109" s="336"/>
      <c r="R109" s="338"/>
      <c r="S109" s="336"/>
      <c r="T109" s="319">
        <f t="shared" si="7"/>
        <v>190</v>
      </c>
      <c r="U109" s="265"/>
      <c r="V109" s="340" t="s">
        <v>227</v>
      </c>
      <c r="W109" s="268"/>
      <c r="X109" s="268"/>
      <c r="Y109" s="268"/>
      <c r="Z109" s="268"/>
      <c r="AA109" s="57"/>
      <c r="AB109" s="300">
        <v>7.0</v>
      </c>
      <c r="AC109" s="273"/>
      <c r="AD109" s="273"/>
      <c r="AE109" s="270"/>
      <c r="AF109" s="37"/>
    </row>
    <row r="110" ht="33.75" customHeight="1">
      <c r="A110" s="264"/>
      <c r="B110" s="308"/>
      <c r="C110" s="309">
        <v>3.0</v>
      </c>
      <c r="D110" s="400" t="s">
        <v>170</v>
      </c>
      <c r="E110" s="311">
        <v>8.0</v>
      </c>
      <c r="F110" s="342">
        <v>50.0</v>
      </c>
      <c r="G110" s="318"/>
      <c r="H110" s="343">
        <v>8.0</v>
      </c>
      <c r="I110" s="342">
        <v>60.0</v>
      </c>
      <c r="J110" s="344"/>
      <c r="K110" s="318"/>
      <c r="L110" s="346"/>
      <c r="M110" s="318"/>
      <c r="N110" s="345"/>
      <c r="O110" s="346"/>
      <c r="P110" s="344"/>
      <c r="Q110" s="318"/>
      <c r="R110" s="346"/>
      <c r="S110" s="318"/>
      <c r="T110" s="319">
        <f t="shared" si="7"/>
        <v>880</v>
      </c>
      <c r="U110" s="265"/>
      <c r="V110" s="64"/>
      <c r="AA110" s="63"/>
      <c r="AE110" s="25"/>
      <c r="AF110" s="37"/>
    </row>
    <row r="111" ht="33.75" customHeight="1">
      <c r="A111" s="264"/>
      <c r="B111" s="308"/>
      <c r="C111" s="330">
        <v>4.0</v>
      </c>
      <c r="D111" s="401" t="s">
        <v>171</v>
      </c>
      <c r="E111" s="332">
        <v>10.0</v>
      </c>
      <c r="F111" s="333">
        <v>60.0</v>
      </c>
      <c r="G111" s="336"/>
      <c r="H111" s="334">
        <v>9.0</v>
      </c>
      <c r="I111" s="333">
        <v>60.0</v>
      </c>
      <c r="J111" s="339"/>
      <c r="K111" s="336"/>
      <c r="L111" s="338"/>
      <c r="M111" s="336"/>
      <c r="N111" s="337"/>
      <c r="O111" s="338"/>
      <c r="P111" s="339"/>
      <c r="Q111" s="336"/>
      <c r="R111" s="338"/>
      <c r="S111" s="336"/>
      <c r="T111" s="319">
        <f t="shared" si="7"/>
        <v>1140</v>
      </c>
      <c r="U111" s="265"/>
      <c r="V111" s="275"/>
      <c r="W111" s="276"/>
      <c r="X111" s="276"/>
      <c r="Y111" s="276"/>
      <c r="Z111" s="276"/>
      <c r="AA111" s="291"/>
      <c r="AB111" s="22"/>
      <c r="AC111" s="22"/>
      <c r="AD111" s="22"/>
      <c r="AE111" s="28"/>
      <c r="AF111" s="37"/>
    </row>
    <row r="112" ht="33.75" customHeight="1">
      <c r="A112" s="264"/>
      <c r="B112" s="308"/>
      <c r="C112" s="309">
        <v>5.0</v>
      </c>
      <c r="D112" s="400" t="s">
        <v>172</v>
      </c>
      <c r="E112" s="311">
        <v>12.0</v>
      </c>
      <c r="F112" s="342">
        <v>35.0</v>
      </c>
      <c r="G112" s="318"/>
      <c r="H112" s="343">
        <v>10.0</v>
      </c>
      <c r="I112" s="342">
        <v>40.0</v>
      </c>
      <c r="J112" s="344"/>
      <c r="K112" s="318"/>
      <c r="L112" s="346"/>
      <c r="M112" s="318"/>
      <c r="N112" s="345"/>
      <c r="O112" s="346"/>
      <c r="P112" s="344"/>
      <c r="Q112" s="318"/>
      <c r="R112" s="346"/>
      <c r="S112" s="318"/>
      <c r="T112" s="319">
        <f t="shared" si="7"/>
        <v>820</v>
      </c>
      <c r="U112" s="265"/>
      <c r="V112" s="347">
        <v>1.0</v>
      </c>
      <c r="W112" s="348">
        <v>2.0</v>
      </c>
      <c r="X112" s="349">
        <v>3.0</v>
      </c>
      <c r="Y112" s="350">
        <v>4.0</v>
      </c>
      <c r="Z112" s="351">
        <v>5.0</v>
      </c>
      <c r="AA112" s="352">
        <v>6.0</v>
      </c>
      <c r="AB112" s="353">
        <v>7.0</v>
      </c>
      <c r="AC112" s="354">
        <v>8.0</v>
      </c>
      <c r="AD112" s="355">
        <v>9.0</v>
      </c>
      <c r="AE112" s="356">
        <v>10.0</v>
      </c>
      <c r="AF112" s="37"/>
    </row>
    <row r="113" ht="33.75" customHeight="1">
      <c r="A113" s="264"/>
      <c r="B113" s="308"/>
      <c r="C113" s="330">
        <v>6.0</v>
      </c>
      <c r="D113" s="399" t="s">
        <v>174</v>
      </c>
      <c r="E113" s="332">
        <v>10.0</v>
      </c>
      <c r="F113" s="333">
        <v>17.5</v>
      </c>
      <c r="G113" s="336"/>
      <c r="H113" s="334">
        <v>10.0</v>
      </c>
      <c r="I113" s="333">
        <v>17.5</v>
      </c>
      <c r="J113" s="339"/>
      <c r="K113" s="336"/>
      <c r="L113" s="338"/>
      <c r="M113" s="336"/>
      <c r="N113" s="337"/>
      <c r="O113" s="338"/>
      <c r="P113" s="339"/>
      <c r="Q113" s="336"/>
      <c r="R113" s="338"/>
      <c r="S113" s="336"/>
      <c r="T113" s="319">
        <f t="shared" si="7"/>
        <v>350</v>
      </c>
      <c r="U113" s="265"/>
      <c r="V113" s="293"/>
      <c r="W113" s="293"/>
      <c r="X113" s="293"/>
      <c r="Y113" s="293"/>
      <c r="Z113" s="293"/>
      <c r="AA113" s="293"/>
      <c r="AB113" s="293"/>
      <c r="AC113" s="293"/>
      <c r="AD113" s="293"/>
      <c r="AE113" s="293"/>
      <c r="AF113" s="37"/>
    </row>
    <row r="114" ht="33.75" customHeight="1">
      <c r="A114" s="264"/>
      <c r="B114" s="308"/>
      <c r="C114" s="309">
        <v>7.0</v>
      </c>
      <c r="D114" s="341"/>
      <c r="E114" s="318"/>
      <c r="F114" s="346"/>
      <c r="G114" s="318"/>
      <c r="H114" s="345"/>
      <c r="I114" s="346"/>
      <c r="J114" s="344"/>
      <c r="K114" s="318"/>
      <c r="L114" s="346"/>
      <c r="M114" s="318"/>
      <c r="N114" s="345"/>
      <c r="O114" s="346"/>
      <c r="P114" s="344"/>
      <c r="Q114" s="318"/>
      <c r="R114" s="346"/>
      <c r="S114" s="318"/>
      <c r="T114" s="319">
        <f t="shared" si="7"/>
        <v>0</v>
      </c>
      <c r="U114" s="265"/>
      <c r="V114" s="357" t="s">
        <v>231</v>
      </c>
      <c r="W114" s="268"/>
      <c r="X114" s="268"/>
      <c r="Y114" s="268"/>
      <c r="Z114" s="268"/>
      <c r="AA114" s="268"/>
      <c r="AB114" s="268"/>
      <c r="AC114" s="268"/>
      <c r="AD114" s="268"/>
      <c r="AE114" s="57"/>
      <c r="AF114" s="37"/>
    </row>
    <row r="115" ht="33.75" customHeight="1">
      <c r="A115" s="264"/>
      <c r="B115" s="308"/>
      <c r="C115" s="330">
        <v>8.0</v>
      </c>
      <c r="D115" s="358"/>
      <c r="E115" s="336"/>
      <c r="F115" s="338"/>
      <c r="G115" s="336"/>
      <c r="H115" s="337"/>
      <c r="I115" s="338"/>
      <c r="J115" s="339"/>
      <c r="K115" s="336"/>
      <c r="L115" s="338"/>
      <c r="M115" s="336"/>
      <c r="N115" s="337"/>
      <c r="O115" s="338"/>
      <c r="P115" s="339"/>
      <c r="Q115" s="336"/>
      <c r="R115" s="338"/>
      <c r="S115" s="336"/>
      <c r="T115" s="319">
        <f t="shared" si="7"/>
        <v>0</v>
      </c>
      <c r="U115" s="265"/>
      <c r="V115" s="370"/>
      <c r="W115" s="273"/>
      <c r="X115" s="273"/>
      <c r="Y115" s="273"/>
      <c r="Z115" s="273"/>
      <c r="AA115" s="273"/>
      <c r="AB115" s="273"/>
      <c r="AC115" s="273"/>
      <c r="AD115" s="273"/>
      <c r="AE115" s="270"/>
      <c r="AF115" s="37"/>
    </row>
    <row r="116" ht="33.75" customHeight="1">
      <c r="A116" s="264"/>
      <c r="B116" s="308"/>
      <c r="C116" s="309">
        <v>9.0</v>
      </c>
      <c r="D116" s="360"/>
      <c r="E116" s="318"/>
      <c r="F116" s="346"/>
      <c r="G116" s="318"/>
      <c r="H116" s="345"/>
      <c r="I116" s="346"/>
      <c r="J116" s="344"/>
      <c r="K116" s="318"/>
      <c r="L116" s="346"/>
      <c r="M116" s="318"/>
      <c r="N116" s="345"/>
      <c r="O116" s="346"/>
      <c r="P116" s="344"/>
      <c r="Q116" s="318"/>
      <c r="R116" s="346"/>
      <c r="S116" s="318"/>
      <c r="T116" s="319">
        <f t="shared" si="7"/>
        <v>0</v>
      </c>
      <c r="U116" s="265"/>
      <c r="V116" s="90"/>
      <c r="AE116" s="25"/>
      <c r="AF116" s="37"/>
    </row>
    <row r="117" ht="33.75" customHeight="1">
      <c r="A117" s="264"/>
      <c r="B117" s="308"/>
      <c r="C117" s="330">
        <v>10.0</v>
      </c>
      <c r="D117" s="358"/>
      <c r="E117" s="336"/>
      <c r="F117" s="338"/>
      <c r="G117" s="336"/>
      <c r="H117" s="337"/>
      <c r="I117" s="338"/>
      <c r="J117" s="339"/>
      <c r="K117" s="336"/>
      <c r="L117" s="338"/>
      <c r="M117" s="336"/>
      <c r="N117" s="337"/>
      <c r="O117" s="338"/>
      <c r="P117" s="339"/>
      <c r="Q117" s="336"/>
      <c r="R117" s="338"/>
      <c r="S117" s="336"/>
      <c r="T117" s="319">
        <f t="shared" si="7"/>
        <v>0</v>
      </c>
      <c r="U117" s="265"/>
      <c r="V117" s="90"/>
      <c r="AE117" s="25"/>
      <c r="AF117" s="37"/>
    </row>
    <row r="118" ht="33.75" customHeight="1">
      <c r="A118" s="264"/>
      <c r="B118" s="361"/>
      <c r="C118" s="362">
        <v>11.0</v>
      </c>
      <c r="D118" s="363"/>
      <c r="E118" s="364"/>
      <c r="F118" s="365"/>
      <c r="G118" s="364"/>
      <c r="H118" s="366"/>
      <c r="I118" s="365"/>
      <c r="J118" s="367"/>
      <c r="K118" s="364"/>
      <c r="L118" s="365"/>
      <c r="M118" s="364"/>
      <c r="N118" s="366"/>
      <c r="O118" s="365"/>
      <c r="P118" s="367"/>
      <c r="Q118" s="364"/>
      <c r="R118" s="365"/>
      <c r="S118" s="364"/>
      <c r="T118" s="319">
        <f t="shared" si="7"/>
        <v>0</v>
      </c>
      <c r="U118" s="265"/>
      <c r="V118" s="27"/>
      <c r="W118" s="22"/>
      <c r="X118" s="22"/>
      <c r="Y118" s="22"/>
      <c r="Z118" s="22"/>
      <c r="AA118" s="22"/>
      <c r="AB118" s="22"/>
      <c r="AC118" s="22"/>
      <c r="AD118" s="22"/>
      <c r="AE118" s="28"/>
      <c r="AF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</sheetData>
  <mergeCells count="166">
    <mergeCell ref="I6:J6"/>
    <mergeCell ref="K6:L6"/>
    <mergeCell ref="O6:P6"/>
    <mergeCell ref="Q6:R6"/>
    <mergeCell ref="G7:H7"/>
    <mergeCell ref="I7:J7"/>
    <mergeCell ref="G8:H8"/>
    <mergeCell ref="I8:J8"/>
    <mergeCell ref="G9:H9"/>
    <mergeCell ref="I9:J9"/>
    <mergeCell ref="G10:H10"/>
    <mergeCell ref="I10:J10"/>
    <mergeCell ref="A1:B7"/>
    <mergeCell ref="C3:D4"/>
    <mergeCell ref="E3:F4"/>
    <mergeCell ref="I3:L4"/>
    <mergeCell ref="M3:N4"/>
    <mergeCell ref="G6:H6"/>
    <mergeCell ref="M6:N6"/>
    <mergeCell ref="M8:N8"/>
    <mergeCell ref="O8:P8"/>
    <mergeCell ref="K8:L8"/>
    <mergeCell ref="K9:L9"/>
    <mergeCell ref="M9:N9"/>
    <mergeCell ref="O9:P9"/>
    <mergeCell ref="K7:L7"/>
    <mergeCell ref="K10:L10"/>
    <mergeCell ref="E46:G46"/>
    <mergeCell ref="H46:J46"/>
    <mergeCell ref="K46:M46"/>
    <mergeCell ref="N46:P46"/>
    <mergeCell ref="Q46:S46"/>
    <mergeCell ref="B47:B58"/>
    <mergeCell ref="C60:D60"/>
    <mergeCell ref="Q60:S60"/>
    <mergeCell ref="E75:M75"/>
    <mergeCell ref="N75:P75"/>
    <mergeCell ref="Q75:S75"/>
    <mergeCell ref="E60:M60"/>
    <mergeCell ref="N60:P60"/>
    <mergeCell ref="E61:G61"/>
    <mergeCell ref="H61:J61"/>
    <mergeCell ref="K61:M61"/>
    <mergeCell ref="B62:B73"/>
    <mergeCell ref="C75:D75"/>
    <mergeCell ref="E76:G76"/>
    <mergeCell ref="H76:J76"/>
    <mergeCell ref="K76:M76"/>
    <mergeCell ref="B77:B88"/>
    <mergeCell ref="E90:M90"/>
    <mergeCell ref="N90:P90"/>
    <mergeCell ref="Q90:S90"/>
    <mergeCell ref="N105:P105"/>
    <mergeCell ref="Q105:S105"/>
    <mergeCell ref="E106:G106"/>
    <mergeCell ref="H106:J106"/>
    <mergeCell ref="K106:M106"/>
    <mergeCell ref="N106:P106"/>
    <mergeCell ref="Q106:S106"/>
    <mergeCell ref="C90:D90"/>
    <mergeCell ref="E91:G91"/>
    <mergeCell ref="H91:J91"/>
    <mergeCell ref="K91:M91"/>
    <mergeCell ref="B92:B103"/>
    <mergeCell ref="C105:D105"/>
    <mergeCell ref="E105:M105"/>
    <mergeCell ref="B107:B118"/>
    <mergeCell ref="M11:N11"/>
    <mergeCell ref="O11:P11"/>
    <mergeCell ref="Q11:R11"/>
    <mergeCell ref="E15:M15"/>
    <mergeCell ref="N15:P15"/>
    <mergeCell ref="Q15:S15"/>
    <mergeCell ref="E16:G16"/>
    <mergeCell ref="H16:J16"/>
    <mergeCell ref="K16:M16"/>
    <mergeCell ref="N16:P16"/>
    <mergeCell ref="Q16:S16"/>
    <mergeCell ref="C10:D10"/>
    <mergeCell ref="E10:F10"/>
    <mergeCell ref="C11:D11"/>
    <mergeCell ref="E11:F11"/>
    <mergeCell ref="G11:H11"/>
    <mergeCell ref="I11:J11"/>
    <mergeCell ref="K11:L11"/>
    <mergeCell ref="E6:F6"/>
    <mergeCell ref="C7:D7"/>
    <mergeCell ref="E7:F7"/>
    <mergeCell ref="C8:D8"/>
    <mergeCell ref="E8:F8"/>
    <mergeCell ref="C9:D9"/>
    <mergeCell ref="E9:F9"/>
    <mergeCell ref="N31:P31"/>
    <mergeCell ref="Q31:S31"/>
    <mergeCell ref="C15:D15"/>
    <mergeCell ref="B17:B28"/>
    <mergeCell ref="C30:D30"/>
    <mergeCell ref="E30:M30"/>
    <mergeCell ref="N30:P30"/>
    <mergeCell ref="Q30:S30"/>
    <mergeCell ref="E31:G31"/>
    <mergeCell ref="H31:J31"/>
    <mergeCell ref="K31:M31"/>
    <mergeCell ref="B32:B43"/>
    <mergeCell ref="C45:D45"/>
    <mergeCell ref="E45:M45"/>
    <mergeCell ref="N45:P45"/>
    <mergeCell ref="Q45:S45"/>
    <mergeCell ref="V64:AA66"/>
    <mergeCell ref="AB64:AE66"/>
    <mergeCell ref="V69:AE69"/>
    <mergeCell ref="V70:AE73"/>
    <mergeCell ref="V75:AA77"/>
    <mergeCell ref="AB75:AE77"/>
    <mergeCell ref="AB79:AE81"/>
    <mergeCell ref="V79:AA81"/>
    <mergeCell ref="V84:AE84"/>
    <mergeCell ref="V85:AE88"/>
    <mergeCell ref="V90:AA92"/>
    <mergeCell ref="AB90:AE92"/>
    <mergeCell ref="V94:AA96"/>
    <mergeCell ref="AB94:AE96"/>
    <mergeCell ref="M10:N10"/>
    <mergeCell ref="O10:P10"/>
    <mergeCell ref="M7:N7"/>
    <mergeCell ref="O7:P7"/>
    <mergeCell ref="Q7:R7"/>
    <mergeCell ref="Z7:AA10"/>
    <mergeCell ref="Q8:R8"/>
    <mergeCell ref="Q9:R9"/>
    <mergeCell ref="Q10:R10"/>
    <mergeCell ref="V7:Y10"/>
    <mergeCell ref="V15:AA17"/>
    <mergeCell ref="AB15:AE17"/>
    <mergeCell ref="V19:AA21"/>
    <mergeCell ref="AB19:AE21"/>
    <mergeCell ref="V24:AE24"/>
    <mergeCell ref="V25:AE28"/>
    <mergeCell ref="V30:AA32"/>
    <mergeCell ref="AB30:AE32"/>
    <mergeCell ref="V34:AA36"/>
    <mergeCell ref="AB34:AE36"/>
    <mergeCell ref="V39:AE39"/>
    <mergeCell ref="V40:AE43"/>
    <mergeCell ref="AB45:AE47"/>
    <mergeCell ref="N61:P61"/>
    <mergeCell ref="Q61:S61"/>
    <mergeCell ref="N76:P76"/>
    <mergeCell ref="Q76:S76"/>
    <mergeCell ref="N91:P91"/>
    <mergeCell ref="Q91:S91"/>
    <mergeCell ref="V45:AA47"/>
    <mergeCell ref="V49:AA51"/>
    <mergeCell ref="AB49:AE51"/>
    <mergeCell ref="V54:AE54"/>
    <mergeCell ref="V55:AE58"/>
    <mergeCell ref="V60:AA62"/>
    <mergeCell ref="AB60:AE62"/>
    <mergeCell ref="V99:AE99"/>
    <mergeCell ref="V100:AE103"/>
    <mergeCell ref="V105:AA107"/>
    <mergeCell ref="AB105:AE107"/>
    <mergeCell ref="V109:AA111"/>
    <mergeCell ref="AB109:AE111"/>
    <mergeCell ref="V114:AE114"/>
    <mergeCell ref="V115:AE118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 AB15 AB19 AB30 AB34 AB45 AB49 AB60 AB64 AB75 AB79 AB90 AB94 AB105 AB109">
      <formula1>"1,2,3,4,5,6,7,8,9,10"</formula1>
    </dataValidation>
    <dataValidation type="list" allowBlank="1" showErrorMessage="1" sqref="Z7">
      <formula1>"SI,NO"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5 Q30 Q45 Q60 Q75 Q90 Q105">
      <formula1>"Muy malo,Malo,Regular,Bueno,Muy bueno"</formula1>
    </dataValidation>
  </dataValidations>
  <hyperlinks>
    <hyperlink r:id="rId1" ref="D63"/>
    <hyperlink r:id="rId2" ref="D64"/>
    <hyperlink r:id="rId3" ref="D65"/>
    <hyperlink r:id="rId4" ref="D66"/>
    <hyperlink r:id="rId5" ref="D67"/>
    <hyperlink r:id="rId6" ref="D68"/>
    <hyperlink r:id="rId7" ref="D78"/>
    <hyperlink r:id="rId8" ref="D79"/>
    <hyperlink r:id="rId9" ref="D80"/>
    <hyperlink r:id="rId10" ref="D81"/>
    <hyperlink r:id="rId11" ref="D82"/>
    <hyperlink r:id="rId12" ref="D83"/>
    <hyperlink r:id="rId13" ref="D84"/>
    <hyperlink r:id="rId14" ref="D93"/>
    <hyperlink r:id="rId15" ref="D94"/>
    <hyperlink r:id="rId16" ref="D95"/>
    <hyperlink r:id="rId17" ref="D96"/>
    <hyperlink r:id="rId18" ref="D97"/>
    <hyperlink r:id="rId19" ref="D98"/>
    <hyperlink r:id="rId20" ref="D99"/>
    <hyperlink r:id="rId21" ref="D108"/>
    <hyperlink r:id="rId22" ref="D109"/>
    <hyperlink r:id="rId23" ref="D110"/>
    <hyperlink r:id="rId24" ref="D111"/>
    <hyperlink r:id="rId25" ref="D112"/>
    <hyperlink r:id="rId26" ref="D11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20" max="20" width="18.88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5"/>
      <c r="AF1" s="265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  <c r="W2" s="266"/>
      <c r="X2" s="266"/>
      <c r="Y2" s="266"/>
      <c r="Z2" s="266"/>
      <c r="AA2" s="265"/>
      <c r="AB2" s="265"/>
      <c r="AC2" s="265"/>
      <c r="AD2" s="265"/>
      <c r="AE2" s="265"/>
      <c r="AF2" s="265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  <c r="W3" s="266"/>
      <c r="X3" s="266"/>
      <c r="Y3" s="266"/>
      <c r="Z3" s="266"/>
      <c r="AA3" s="265"/>
      <c r="AB3" s="265"/>
      <c r="AC3" s="265"/>
      <c r="AD3" s="265"/>
      <c r="AE3" s="265"/>
      <c r="AF3" s="265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  <c r="W4" s="266"/>
      <c r="X4" s="266"/>
      <c r="Y4" s="266"/>
      <c r="Z4" s="266"/>
      <c r="AA4" s="265"/>
      <c r="AB4" s="265"/>
      <c r="AC4" s="265"/>
      <c r="AD4" s="265"/>
      <c r="AE4" s="265"/>
      <c r="AF4" s="37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  <c r="W5" s="266"/>
      <c r="X5" s="266"/>
      <c r="Y5" s="266"/>
      <c r="Z5" s="266"/>
      <c r="AA5" s="265"/>
      <c r="AB5" s="264"/>
      <c r="AC5" s="264"/>
      <c r="AD5" s="264"/>
      <c r="AE5" s="264"/>
      <c r="AF5" s="37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  <c r="W6" s="266"/>
      <c r="X6" s="266"/>
      <c r="Y6" s="266"/>
      <c r="Z6" s="266"/>
      <c r="AA6" s="265"/>
      <c r="AB6" s="264"/>
      <c r="AC6" s="264"/>
      <c r="AD6" s="264"/>
      <c r="AE6" s="264"/>
      <c r="AF6" s="37"/>
    </row>
    <row r="7">
      <c r="C7" s="281" t="s">
        <v>202</v>
      </c>
      <c r="D7" s="282"/>
      <c r="E7" s="283">
        <v>1.0</v>
      </c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85" t="s">
        <v>203</v>
      </c>
      <c r="W7" s="268"/>
      <c r="X7" s="268"/>
      <c r="Y7" s="57"/>
      <c r="Z7" s="286" t="s">
        <v>252</v>
      </c>
      <c r="AA7" s="57"/>
      <c r="AB7" s="264"/>
      <c r="AC7" s="264"/>
      <c r="AD7" s="264"/>
      <c r="AE7" s="264"/>
      <c r="AF7" s="37"/>
    </row>
    <row r="8">
      <c r="A8" s="264"/>
      <c r="B8" s="265"/>
      <c r="C8" s="287" t="s">
        <v>204</v>
      </c>
      <c r="D8" s="282"/>
      <c r="E8" s="288" t="s">
        <v>253</v>
      </c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64"/>
      <c r="Y8" s="63"/>
      <c r="Z8" s="64"/>
      <c r="AA8" s="63"/>
      <c r="AB8" s="264"/>
      <c r="AC8" s="264"/>
      <c r="AD8" s="264"/>
      <c r="AE8" s="264"/>
      <c r="AF8" s="265"/>
    </row>
    <row r="9">
      <c r="A9" s="264"/>
      <c r="B9" s="265"/>
      <c r="C9" s="281" t="s">
        <v>205</v>
      </c>
      <c r="D9" s="282"/>
      <c r="E9" s="283">
        <v>10.0</v>
      </c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64"/>
      <c r="Y9" s="63"/>
      <c r="Z9" s="64"/>
      <c r="AA9" s="63"/>
      <c r="AB9" s="290"/>
      <c r="AC9" s="290"/>
      <c r="AD9" s="290"/>
      <c r="AE9" s="290"/>
      <c r="AF9" s="265"/>
    </row>
    <row r="10">
      <c r="A10" s="264"/>
      <c r="B10" s="265"/>
      <c r="C10" s="287" t="s">
        <v>206</v>
      </c>
      <c r="D10" s="282"/>
      <c r="E10" s="288">
        <v>6.0</v>
      </c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75"/>
      <c r="W10" s="276"/>
      <c r="X10" s="276"/>
      <c r="Y10" s="291"/>
      <c r="Z10" s="275"/>
      <c r="AA10" s="291"/>
      <c r="AB10" s="265"/>
      <c r="AC10" s="265"/>
      <c r="AD10" s="265"/>
      <c r="AE10" s="265"/>
      <c r="AF10" s="265"/>
    </row>
    <row r="11">
      <c r="A11" s="264"/>
      <c r="B11" s="265"/>
      <c r="C11" s="281" t="s">
        <v>207</v>
      </c>
      <c r="D11" s="282"/>
      <c r="E11" s="283" t="s">
        <v>208</v>
      </c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37"/>
      <c r="W11" s="37"/>
      <c r="X11" s="37"/>
      <c r="Y11" s="37"/>
      <c r="Z11" s="37"/>
      <c r="AA11" s="37"/>
      <c r="AB11" s="265"/>
      <c r="AC11" s="265"/>
      <c r="AD11" s="265"/>
      <c r="AE11" s="265"/>
      <c r="AF11" s="265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37"/>
      <c r="W12" s="37"/>
      <c r="X12" s="37"/>
      <c r="Y12" s="37"/>
      <c r="Z12" s="37"/>
      <c r="AA12" s="37"/>
      <c r="AB12" s="265"/>
      <c r="AC12" s="265"/>
      <c r="AD12" s="265"/>
      <c r="AE12" s="265"/>
      <c r="AF12" s="265"/>
    </row>
    <row r="13">
      <c r="A13" s="264"/>
      <c r="B13" s="265"/>
      <c r="C13" s="265"/>
      <c r="D13" s="292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92"/>
      <c r="T13" s="265"/>
      <c r="U13" s="265"/>
      <c r="V13" s="265"/>
      <c r="W13" s="292"/>
      <c r="X13" s="265"/>
      <c r="Y13" s="265"/>
      <c r="Z13" s="265"/>
      <c r="AA13" s="265"/>
      <c r="AB13" s="265"/>
      <c r="AC13" s="265"/>
      <c r="AD13" s="265"/>
      <c r="AE13" s="265"/>
      <c r="AF13" s="265"/>
    </row>
    <row r="14">
      <c r="A14" s="264"/>
      <c r="B14" s="265"/>
      <c r="C14" s="265"/>
      <c r="D14" s="265"/>
      <c r="E14" s="265"/>
      <c r="F14" s="265"/>
      <c r="G14" s="265"/>
      <c r="H14" s="265"/>
      <c r="I14" s="292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93"/>
    </row>
    <row r="15">
      <c r="A15" s="264"/>
      <c r="B15" s="265"/>
      <c r="C15" s="294" t="s">
        <v>209</v>
      </c>
      <c r="D15" s="295"/>
      <c r="E15" s="296" t="s">
        <v>233</v>
      </c>
      <c r="F15" s="297"/>
      <c r="G15" s="297"/>
      <c r="H15" s="297"/>
      <c r="I15" s="297"/>
      <c r="J15" s="297"/>
      <c r="K15" s="297"/>
      <c r="L15" s="297"/>
      <c r="M15" s="282"/>
      <c r="N15" s="298" t="s">
        <v>211</v>
      </c>
      <c r="O15" s="268"/>
      <c r="P15" s="57"/>
      <c r="Q15" s="286" t="s">
        <v>212</v>
      </c>
      <c r="R15" s="268"/>
      <c r="S15" s="57"/>
      <c r="T15" s="292"/>
      <c r="U15" s="265"/>
      <c r="V15" s="299" t="s">
        <v>213</v>
      </c>
      <c r="W15" s="268"/>
      <c r="X15" s="268"/>
      <c r="Y15" s="268"/>
      <c r="Z15" s="268"/>
      <c r="AA15" s="57"/>
      <c r="AB15" s="300">
        <v>9.0</v>
      </c>
      <c r="AC15" s="273"/>
      <c r="AD15" s="273"/>
      <c r="AE15" s="270"/>
      <c r="AF15" s="293"/>
    </row>
    <row r="16">
      <c r="A16" s="264"/>
      <c r="B16" s="265"/>
      <c r="C16" s="301" t="s">
        <v>214</v>
      </c>
      <c r="D16" s="302">
        <v>45845.0</v>
      </c>
      <c r="E16" s="303" t="s">
        <v>215</v>
      </c>
      <c r="F16" s="22"/>
      <c r="G16" s="28"/>
      <c r="H16" s="304" t="s">
        <v>216</v>
      </c>
      <c r="I16" s="297"/>
      <c r="J16" s="282"/>
      <c r="K16" s="304" t="s">
        <v>217</v>
      </c>
      <c r="L16" s="297"/>
      <c r="M16" s="282"/>
      <c r="N16" s="304" t="s">
        <v>218</v>
      </c>
      <c r="O16" s="297"/>
      <c r="P16" s="282"/>
      <c r="Q16" s="304" t="s">
        <v>219</v>
      </c>
      <c r="R16" s="297"/>
      <c r="S16" s="282"/>
      <c r="T16" s="265"/>
      <c r="U16" s="265"/>
      <c r="V16" s="64"/>
      <c r="AA16" s="63"/>
      <c r="AE16" s="25"/>
      <c r="AF16" s="293"/>
    </row>
    <row r="17">
      <c r="A17" s="264"/>
      <c r="B17" s="305" t="s">
        <v>220</v>
      </c>
      <c r="C17" s="306" t="s">
        <v>221</v>
      </c>
      <c r="D17" s="306" t="s">
        <v>222</v>
      </c>
      <c r="E17" s="301" t="s">
        <v>223</v>
      </c>
      <c r="F17" s="301" t="s">
        <v>224</v>
      </c>
      <c r="G17" s="301" t="s">
        <v>66</v>
      </c>
      <c r="H17" s="301" t="s">
        <v>223</v>
      </c>
      <c r="I17" s="301" t="s">
        <v>224</v>
      </c>
      <c r="J17" s="301" t="s">
        <v>66</v>
      </c>
      <c r="K17" s="301" t="s">
        <v>223</v>
      </c>
      <c r="L17" s="301" t="s">
        <v>224</v>
      </c>
      <c r="M17" s="301" t="s">
        <v>66</v>
      </c>
      <c r="N17" s="301" t="s">
        <v>223</v>
      </c>
      <c r="O17" s="301" t="s">
        <v>224</v>
      </c>
      <c r="P17" s="301" t="s">
        <v>66</v>
      </c>
      <c r="Q17" s="301" t="s">
        <v>223</v>
      </c>
      <c r="R17" s="301" t="s">
        <v>224</v>
      </c>
      <c r="S17" s="301" t="s">
        <v>66</v>
      </c>
      <c r="T17" s="307" t="s">
        <v>225</v>
      </c>
      <c r="U17" s="265"/>
      <c r="V17" s="275"/>
      <c r="W17" s="276"/>
      <c r="X17" s="276"/>
      <c r="Y17" s="276"/>
      <c r="Z17" s="276"/>
      <c r="AA17" s="291"/>
      <c r="AB17" s="22"/>
      <c r="AC17" s="22"/>
      <c r="AD17" s="22"/>
      <c r="AE17" s="28"/>
      <c r="AF17" s="293"/>
    </row>
    <row r="18">
      <c r="A18" s="264"/>
      <c r="B18" s="308"/>
      <c r="C18" s="309">
        <v>1.0</v>
      </c>
      <c r="D18" s="369" t="s">
        <v>235</v>
      </c>
      <c r="E18" s="311">
        <v>12.0</v>
      </c>
      <c r="F18" s="312">
        <v>10.0</v>
      </c>
      <c r="G18" s="311"/>
      <c r="H18" s="313">
        <v>11.0</v>
      </c>
      <c r="I18" s="312">
        <v>10.0</v>
      </c>
      <c r="J18" s="314"/>
      <c r="K18" s="311"/>
      <c r="L18" s="312"/>
      <c r="M18" s="311"/>
      <c r="N18" s="315"/>
      <c r="O18" s="316"/>
      <c r="P18" s="317"/>
      <c r="Q18" s="318"/>
      <c r="R18" s="316"/>
      <c r="S18" s="318"/>
      <c r="T18" s="319">
        <f t="shared" ref="T18:T28" si="1">(E18*F18)+(H18*I18)+(K18*L18)+(N18*O18)+(Q18*R18)</f>
        <v>230</v>
      </c>
      <c r="U18" s="265"/>
      <c r="V18" s="320">
        <v>1.0</v>
      </c>
      <c r="W18" s="321">
        <v>2.0</v>
      </c>
      <c r="X18" s="322">
        <v>3.0</v>
      </c>
      <c r="Y18" s="323">
        <v>4.0</v>
      </c>
      <c r="Z18" s="324">
        <v>5.0</v>
      </c>
      <c r="AA18" s="325">
        <v>6.0</v>
      </c>
      <c r="AB18" s="326">
        <v>7.0</v>
      </c>
      <c r="AC18" s="327">
        <v>8.0</v>
      </c>
      <c r="AD18" s="328">
        <v>9.0</v>
      </c>
      <c r="AE18" s="329">
        <v>10.0</v>
      </c>
      <c r="AF18" s="293"/>
    </row>
    <row r="19">
      <c r="A19" s="264"/>
      <c r="B19" s="308"/>
      <c r="C19" s="330">
        <v>2.0</v>
      </c>
      <c r="D19" s="331" t="s">
        <v>236</v>
      </c>
      <c r="E19" s="332">
        <v>8.0</v>
      </c>
      <c r="F19" s="333">
        <v>26.0</v>
      </c>
      <c r="G19" s="332"/>
      <c r="H19" s="334">
        <v>5.0</v>
      </c>
      <c r="I19" s="333">
        <v>26.0</v>
      </c>
      <c r="J19" s="335"/>
      <c r="K19" s="332"/>
      <c r="L19" s="333"/>
      <c r="M19" s="336"/>
      <c r="N19" s="337"/>
      <c r="O19" s="338"/>
      <c r="P19" s="339"/>
      <c r="Q19" s="336"/>
      <c r="R19" s="338"/>
      <c r="S19" s="336"/>
      <c r="T19" s="319">
        <f t="shared" si="1"/>
        <v>338</v>
      </c>
      <c r="U19" s="265"/>
      <c r="V19" s="340" t="s">
        <v>227</v>
      </c>
      <c r="W19" s="268"/>
      <c r="X19" s="268"/>
      <c r="Y19" s="268"/>
      <c r="Z19" s="268"/>
      <c r="AA19" s="57"/>
      <c r="AB19" s="300">
        <v>9.0</v>
      </c>
      <c r="AC19" s="273"/>
      <c r="AD19" s="273"/>
      <c r="AE19" s="270"/>
      <c r="AF19" s="293"/>
    </row>
    <row r="20">
      <c r="A20" s="264"/>
      <c r="B20" s="308"/>
      <c r="C20" s="309">
        <v>3.0</v>
      </c>
      <c r="D20" s="341" t="s">
        <v>237</v>
      </c>
      <c r="E20" s="311">
        <v>10.0</v>
      </c>
      <c r="F20" s="342">
        <v>35.0</v>
      </c>
      <c r="G20" s="311"/>
      <c r="H20" s="343">
        <v>8.0</v>
      </c>
      <c r="I20" s="342">
        <v>35.0</v>
      </c>
      <c r="J20" s="344"/>
      <c r="K20" s="311"/>
      <c r="L20" s="342"/>
      <c r="M20" s="318"/>
      <c r="N20" s="345"/>
      <c r="O20" s="346"/>
      <c r="P20" s="344"/>
      <c r="Q20" s="318"/>
      <c r="R20" s="346"/>
      <c r="S20" s="318"/>
      <c r="T20" s="319">
        <f t="shared" si="1"/>
        <v>630</v>
      </c>
      <c r="U20" s="265"/>
      <c r="V20" s="64"/>
      <c r="AA20" s="63"/>
      <c r="AE20" s="25"/>
      <c r="AF20" s="293"/>
    </row>
    <row r="21">
      <c r="A21" s="264"/>
      <c r="B21" s="308"/>
      <c r="C21" s="330">
        <v>4.0</v>
      </c>
      <c r="D21" s="331" t="s">
        <v>238</v>
      </c>
      <c r="E21" s="332">
        <v>11.0</v>
      </c>
      <c r="F21" s="333">
        <v>15.0</v>
      </c>
      <c r="G21" s="332"/>
      <c r="H21" s="334">
        <v>12.0</v>
      </c>
      <c r="I21" s="333">
        <v>12.5</v>
      </c>
      <c r="J21" s="335"/>
      <c r="K21" s="332"/>
      <c r="L21" s="333"/>
      <c r="M21" s="336"/>
      <c r="N21" s="337"/>
      <c r="O21" s="338"/>
      <c r="P21" s="339"/>
      <c r="Q21" s="336"/>
      <c r="R21" s="338"/>
      <c r="S21" s="336"/>
      <c r="T21" s="319">
        <f t="shared" si="1"/>
        <v>315</v>
      </c>
      <c r="U21" s="265"/>
      <c r="V21" s="275"/>
      <c r="W21" s="276"/>
      <c r="X21" s="276"/>
      <c r="Y21" s="276"/>
      <c r="Z21" s="276"/>
      <c r="AA21" s="291"/>
      <c r="AB21" s="22"/>
      <c r="AC21" s="22"/>
      <c r="AD21" s="22"/>
      <c r="AE21" s="28"/>
      <c r="AF21" s="293"/>
    </row>
    <row r="22">
      <c r="A22" s="264"/>
      <c r="B22" s="308"/>
      <c r="C22" s="309">
        <v>5.0</v>
      </c>
      <c r="D22" s="341" t="s">
        <v>239</v>
      </c>
      <c r="E22" s="311">
        <v>12.0</v>
      </c>
      <c r="F22" s="342">
        <v>20.0</v>
      </c>
      <c r="G22" s="311"/>
      <c r="H22" s="343">
        <v>10.0</v>
      </c>
      <c r="I22" s="342">
        <v>20.0</v>
      </c>
      <c r="J22" s="344"/>
      <c r="K22" s="311"/>
      <c r="L22" s="342"/>
      <c r="M22" s="318"/>
      <c r="N22" s="345"/>
      <c r="O22" s="346"/>
      <c r="P22" s="344"/>
      <c r="Q22" s="318"/>
      <c r="R22" s="346"/>
      <c r="S22" s="318"/>
      <c r="T22" s="319">
        <f t="shared" si="1"/>
        <v>440</v>
      </c>
      <c r="U22" s="265"/>
      <c r="V22" s="347">
        <v>1.0</v>
      </c>
      <c r="W22" s="348">
        <v>2.0</v>
      </c>
      <c r="X22" s="349">
        <v>3.0</v>
      </c>
      <c r="Y22" s="350">
        <v>4.0</v>
      </c>
      <c r="Z22" s="351">
        <v>5.0</v>
      </c>
      <c r="AA22" s="352">
        <v>6.0</v>
      </c>
      <c r="AB22" s="353">
        <v>7.0</v>
      </c>
      <c r="AC22" s="354">
        <v>8.0</v>
      </c>
      <c r="AD22" s="355">
        <v>9.0</v>
      </c>
      <c r="AE22" s="356">
        <v>10.0</v>
      </c>
      <c r="AF22" s="293"/>
    </row>
    <row r="23">
      <c r="A23" s="264"/>
      <c r="B23" s="308"/>
      <c r="C23" s="330">
        <v>6.0</v>
      </c>
      <c r="D23" s="331" t="s">
        <v>240</v>
      </c>
      <c r="E23" s="332">
        <v>14.0</v>
      </c>
      <c r="F23" s="333">
        <v>7.5</v>
      </c>
      <c r="G23" s="336"/>
      <c r="H23" s="334">
        <v>12.0</v>
      </c>
      <c r="I23" s="333">
        <v>7.5</v>
      </c>
      <c r="J23" s="339"/>
      <c r="K23" s="332"/>
      <c r="L23" s="333"/>
      <c r="M23" s="336"/>
      <c r="N23" s="337"/>
      <c r="O23" s="338"/>
      <c r="P23" s="339"/>
      <c r="Q23" s="336"/>
      <c r="R23" s="338"/>
      <c r="S23" s="336"/>
      <c r="T23" s="319">
        <f t="shared" si="1"/>
        <v>195</v>
      </c>
      <c r="U23" s="265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</row>
    <row r="24" ht="31.5" customHeight="1">
      <c r="A24" s="264"/>
      <c r="B24" s="308"/>
      <c r="C24" s="309">
        <v>7.0</v>
      </c>
      <c r="D24" s="341" t="s">
        <v>254</v>
      </c>
      <c r="E24" s="311">
        <v>16.0</v>
      </c>
      <c r="F24" s="342">
        <v>5.0</v>
      </c>
      <c r="G24" s="318"/>
      <c r="H24" s="343">
        <v>12.0</v>
      </c>
      <c r="I24" s="342">
        <v>5.0</v>
      </c>
      <c r="J24" s="344"/>
      <c r="K24" s="311"/>
      <c r="L24" s="342"/>
      <c r="M24" s="318"/>
      <c r="N24" s="345"/>
      <c r="O24" s="346"/>
      <c r="P24" s="344"/>
      <c r="Q24" s="318"/>
      <c r="R24" s="346"/>
      <c r="S24" s="318"/>
      <c r="T24" s="319">
        <f t="shared" si="1"/>
        <v>140</v>
      </c>
      <c r="U24" s="265"/>
      <c r="V24" s="357" t="s">
        <v>231</v>
      </c>
      <c r="W24" s="268"/>
      <c r="X24" s="268"/>
      <c r="Y24" s="268"/>
      <c r="Z24" s="268"/>
      <c r="AA24" s="268"/>
      <c r="AB24" s="268"/>
      <c r="AC24" s="268"/>
      <c r="AD24" s="268"/>
      <c r="AE24" s="57"/>
      <c r="AF24" s="293"/>
    </row>
    <row r="25">
      <c r="A25" s="264"/>
      <c r="B25" s="308"/>
      <c r="C25" s="330">
        <v>8.0</v>
      </c>
      <c r="D25" s="331"/>
      <c r="E25" s="336"/>
      <c r="F25" s="338"/>
      <c r="G25" s="336"/>
      <c r="H25" s="337"/>
      <c r="I25" s="338"/>
      <c r="J25" s="339"/>
      <c r="K25" s="336"/>
      <c r="L25" s="338"/>
      <c r="M25" s="336"/>
      <c r="N25" s="337"/>
      <c r="O25" s="338"/>
      <c r="P25" s="339"/>
      <c r="Q25" s="336"/>
      <c r="R25" s="338"/>
      <c r="S25" s="336"/>
      <c r="T25" s="319">
        <f t="shared" si="1"/>
        <v>0</v>
      </c>
      <c r="U25" s="265"/>
      <c r="V25" s="359" t="s">
        <v>232</v>
      </c>
      <c r="W25" s="273"/>
      <c r="X25" s="273"/>
      <c r="Y25" s="273"/>
      <c r="Z25" s="273"/>
      <c r="AA25" s="273"/>
      <c r="AB25" s="273"/>
      <c r="AC25" s="273"/>
      <c r="AD25" s="273"/>
      <c r="AE25" s="270"/>
      <c r="AF25" s="293"/>
    </row>
    <row r="26">
      <c r="A26" s="264"/>
      <c r="B26" s="308"/>
      <c r="C26" s="309">
        <v>9.0</v>
      </c>
      <c r="D26" s="360"/>
      <c r="E26" s="318"/>
      <c r="F26" s="346"/>
      <c r="G26" s="318"/>
      <c r="H26" s="345"/>
      <c r="I26" s="346"/>
      <c r="J26" s="344"/>
      <c r="K26" s="318"/>
      <c r="L26" s="346"/>
      <c r="M26" s="318"/>
      <c r="N26" s="345"/>
      <c r="O26" s="346"/>
      <c r="P26" s="344"/>
      <c r="Q26" s="318"/>
      <c r="R26" s="346"/>
      <c r="S26" s="318"/>
      <c r="T26" s="319">
        <f t="shared" si="1"/>
        <v>0</v>
      </c>
      <c r="U26" s="265"/>
      <c r="V26" s="90"/>
      <c r="AE26" s="25"/>
      <c r="AF26" s="293"/>
    </row>
    <row r="27">
      <c r="A27" s="264"/>
      <c r="B27" s="308"/>
      <c r="C27" s="330">
        <v>10.0</v>
      </c>
      <c r="D27" s="358"/>
      <c r="E27" s="336"/>
      <c r="F27" s="338"/>
      <c r="G27" s="336"/>
      <c r="H27" s="337"/>
      <c r="I27" s="338"/>
      <c r="J27" s="339"/>
      <c r="K27" s="336"/>
      <c r="L27" s="338"/>
      <c r="M27" s="336"/>
      <c r="N27" s="337"/>
      <c r="O27" s="338"/>
      <c r="P27" s="339"/>
      <c r="Q27" s="336"/>
      <c r="R27" s="338"/>
      <c r="S27" s="336"/>
      <c r="T27" s="319">
        <f t="shared" si="1"/>
        <v>0</v>
      </c>
      <c r="U27" s="265"/>
      <c r="V27" s="90"/>
      <c r="AE27" s="25"/>
      <c r="AF27" s="293"/>
    </row>
    <row r="28">
      <c r="A28" s="264"/>
      <c r="B28" s="361"/>
      <c r="C28" s="362">
        <v>11.0</v>
      </c>
      <c r="D28" s="363"/>
      <c r="E28" s="364"/>
      <c r="F28" s="365"/>
      <c r="G28" s="364"/>
      <c r="H28" s="366"/>
      <c r="I28" s="365"/>
      <c r="J28" s="367"/>
      <c r="K28" s="364"/>
      <c r="L28" s="365"/>
      <c r="M28" s="364"/>
      <c r="N28" s="366"/>
      <c r="O28" s="365"/>
      <c r="P28" s="367"/>
      <c r="Q28" s="364"/>
      <c r="R28" s="365"/>
      <c r="S28" s="364"/>
      <c r="T28" s="319">
        <f t="shared" si="1"/>
        <v>0</v>
      </c>
      <c r="U28" s="265"/>
      <c r="V28" s="27"/>
      <c r="W28" s="22"/>
      <c r="X28" s="22"/>
      <c r="Y28" s="22"/>
      <c r="Z28" s="22"/>
      <c r="AA28" s="22"/>
      <c r="AB28" s="22"/>
      <c r="AC28" s="22"/>
      <c r="AD28" s="22"/>
      <c r="AE28" s="28"/>
      <c r="AF28" s="293"/>
    </row>
    <row r="29">
      <c r="A29" s="264"/>
      <c r="B29" s="368"/>
      <c r="C29" s="265"/>
      <c r="D29" s="265"/>
      <c r="E29" s="265"/>
      <c r="F29" s="265"/>
      <c r="G29" s="265"/>
      <c r="H29" s="265"/>
      <c r="I29" s="292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</row>
    <row r="30">
      <c r="A30" s="264"/>
      <c r="B30" s="265"/>
      <c r="C30" s="294" t="s">
        <v>209</v>
      </c>
      <c r="D30" s="295"/>
      <c r="E30" s="296" t="s">
        <v>244</v>
      </c>
      <c r="F30" s="297"/>
      <c r="G30" s="297"/>
      <c r="H30" s="297"/>
      <c r="I30" s="297"/>
      <c r="J30" s="297"/>
      <c r="K30" s="297"/>
      <c r="L30" s="297"/>
      <c r="M30" s="282"/>
      <c r="N30" s="298" t="s">
        <v>211</v>
      </c>
      <c r="O30" s="268"/>
      <c r="P30" s="57"/>
      <c r="Q30" s="286" t="s">
        <v>212</v>
      </c>
      <c r="R30" s="268"/>
      <c r="S30" s="57"/>
      <c r="T30" s="292"/>
      <c r="U30" s="265"/>
      <c r="V30" s="299" t="s">
        <v>213</v>
      </c>
      <c r="W30" s="268"/>
      <c r="X30" s="268"/>
      <c r="Y30" s="268"/>
      <c r="Z30" s="268"/>
      <c r="AA30" s="57"/>
      <c r="AB30" s="300">
        <v>8.0</v>
      </c>
      <c r="AC30" s="273"/>
      <c r="AD30" s="273"/>
      <c r="AE30" s="270"/>
      <c r="AF30" s="293"/>
    </row>
    <row r="31">
      <c r="A31" s="264"/>
      <c r="B31" s="265"/>
      <c r="C31" s="301" t="s">
        <v>214</v>
      </c>
      <c r="D31" s="302">
        <v>45846.0</v>
      </c>
      <c r="E31" s="303" t="s">
        <v>215</v>
      </c>
      <c r="F31" s="22"/>
      <c r="G31" s="28"/>
      <c r="H31" s="304" t="s">
        <v>216</v>
      </c>
      <c r="I31" s="297"/>
      <c r="J31" s="282"/>
      <c r="K31" s="304" t="s">
        <v>217</v>
      </c>
      <c r="L31" s="297"/>
      <c r="M31" s="282"/>
      <c r="N31" s="304" t="s">
        <v>218</v>
      </c>
      <c r="O31" s="297"/>
      <c r="P31" s="282"/>
      <c r="Q31" s="304" t="s">
        <v>219</v>
      </c>
      <c r="R31" s="297"/>
      <c r="S31" s="282"/>
      <c r="T31" s="265"/>
      <c r="U31" s="265"/>
      <c r="V31" s="64"/>
      <c r="AA31" s="63"/>
      <c r="AE31" s="25"/>
      <c r="AF31" s="293"/>
    </row>
    <row r="32">
      <c r="A32" s="264"/>
      <c r="B32" s="305" t="s">
        <v>234</v>
      </c>
      <c r="C32" s="306" t="s">
        <v>221</v>
      </c>
      <c r="D32" s="306" t="s">
        <v>222</v>
      </c>
      <c r="E32" s="301" t="s">
        <v>223</v>
      </c>
      <c r="F32" s="301" t="s">
        <v>224</v>
      </c>
      <c r="G32" s="301" t="s">
        <v>66</v>
      </c>
      <c r="H32" s="301" t="s">
        <v>223</v>
      </c>
      <c r="I32" s="301" t="s">
        <v>224</v>
      </c>
      <c r="J32" s="301" t="s">
        <v>66</v>
      </c>
      <c r="K32" s="301" t="s">
        <v>223</v>
      </c>
      <c r="L32" s="301" t="s">
        <v>224</v>
      </c>
      <c r="M32" s="301" t="s">
        <v>66</v>
      </c>
      <c r="N32" s="301" t="s">
        <v>223</v>
      </c>
      <c r="O32" s="301" t="s">
        <v>224</v>
      </c>
      <c r="P32" s="301" t="s">
        <v>66</v>
      </c>
      <c r="Q32" s="301" t="s">
        <v>223</v>
      </c>
      <c r="R32" s="301" t="s">
        <v>224</v>
      </c>
      <c r="S32" s="301" t="s">
        <v>66</v>
      </c>
      <c r="T32" s="307" t="s">
        <v>225</v>
      </c>
      <c r="U32" s="265"/>
      <c r="V32" s="275"/>
      <c r="W32" s="276"/>
      <c r="X32" s="276"/>
      <c r="Y32" s="276"/>
      <c r="Z32" s="276"/>
      <c r="AA32" s="291"/>
      <c r="AB32" s="22"/>
      <c r="AC32" s="22"/>
      <c r="AD32" s="22"/>
      <c r="AE32" s="28"/>
      <c r="AF32" s="293"/>
    </row>
    <row r="33">
      <c r="A33" s="264"/>
      <c r="B33" s="308"/>
      <c r="C33" s="309">
        <v>1.0</v>
      </c>
      <c r="D33" s="373" t="s">
        <v>167</v>
      </c>
      <c r="E33" s="311">
        <v>12.0</v>
      </c>
      <c r="F33" s="312">
        <v>45.0</v>
      </c>
      <c r="G33" s="318"/>
      <c r="H33" s="313">
        <v>10.0</v>
      </c>
      <c r="I33" s="312">
        <v>45.0</v>
      </c>
      <c r="J33" s="317"/>
      <c r="K33" s="311"/>
      <c r="L33" s="312"/>
      <c r="M33" s="318"/>
      <c r="N33" s="315"/>
      <c r="O33" s="316"/>
      <c r="P33" s="317"/>
      <c r="Q33" s="318"/>
      <c r="R33" s="316"/>
      <c r="S33" s="318"/>
      <c r="T33" s="319">
        <f t="shared" ref="T33:T43" si="2">(E33*F33)+(H33*I33)+(K33*L33)+(N33*O33)+(Q33*R33)</f>
        <v>990</v>
      </c>
      <c r="U33" s="265"/>
      <c r="V33" s="320">
        <v>1.0</v>
      </c>
      <c r="W33" s="321">
        <v>2.0</v>
      </c>
      <c r="X33" s="322">
        <v>3.0</v>
      </c>
      <c r="Y33" s="323">
        <v>4.0</v>
      </c>
      <c r="Z33" s="324">
        <v>5.0</v>
      </c>
      <c r="AA33" s="325">
        <v>6.0</v>
      </c>
      <c r="AB33" s="326">
        <v>7.0</v>
      </c>
      <c r="AC33" s="327">
        <v>8.0</v>
      </c>
      <c r="AD33" s="328">
        <v>9.0</v>
      </c>
      <c r="AE33" s="329">
        <v>10.0</v>
      </c>
      <c r="AF33" s="293"/>
    </row>
    <row r="34">
      <c r="A34" s="264"/>
      <c r="B34" s="308"/>
      <c r="C34" s="330">
        <v>2.0</v>
      </c>
      <c r="D34" s="377" t="s">
        <v>189</v>
      </c>
      <c r="E34" s="332">
        <v>12.0</v>
      </c>
      <c r="F34" s="333">
        <v>30.0</v>
      </c>
      <c r="G34" s="336"/>
      <c r="H34" s="334">
        <v>10.0</v>
      </c>
      <c r="I34" s="333">
        <v>30.0</v>
      </c>
      <c r="J34" s="339"/>
      <c r="K34" s="332"/>
      <c r="L34" s="333"/>
      <c r="M34" s="336"/>
      <c r="N34" s="337"/>
      <c r="O34" s="338"/>
      <c r="P34" s="339"/>
      <c r="Q34" s="336"/>
      <c r="R34" s="338"/>
      <c r="S34" s="336"/>
      <c r="T34" s="319">
        <f t="shared" si="2"/>
        <v>660</v>
      </c>
      <c r="U34" s="265"/>
      <c r="V34" s="340" t="s">
        <v>227</v>
      </c>
      <c r="W34" s="268"/>
      <c r="X34" s="268"/>
      <c r="Y34" s="268"/>
      <c r="Z34" s="268"/>
      <c r="AA34" s="57"/>
      <c r="AB34" s="300">
        <v>8.0</v>
      </c>
      <c r="AC34" s="273"/>
      <c r="AD34" s="273"/>
      <c r="AE34" s="270"/>
      <c r="AF34" s="293"/>
    </row>
    <row r="35">
      <c r="A35" s="264"/>
      <c r="B35" s="308"/>
      <c r="C35" s="309">
        <v>3.0</v>
      </c>
      <c r="D35" s="382" t="s">
        <v>190</v>
      </c>
      <c r="E35" s="311">
        <v>14.0</v>
      </c>
      <c r="F35" s="342">
        <v>40.0</v>
      </c>
      <c r="G35" s="318"/>
      <c r="H35" s="343">
        <v>10.0</v>
      </c>
      <c r="I35" s="342">
        <v>40.0</v>
      </c>
      <c r="J35" s="344"/>
      <c r="K35" s="311"/>
      <c r="L35" s="342"/>
      <c r="M35" s="318"/>
      <c r="N35" s="345"/>
      <c r="O35" s="346"/>
      <c r="P35" s="344"/>
      <c r="Q35" s="318"/>
      <c r="R35" s="346"/>
      <c r="S35" s="318"/>
      <c r="T35" s="319">
        <f t="shared" si="2"/>
        <v>960</v>
      </c>
      <c r="U35" s="265"/>
      <c r="V35" s="64"/>
      <c r="AA35" s="63"/>
      <c r="AE35" s="25"/>
      <c r="AF35" s="293"/>
    </row>
    <row r="36">
      <c r="A36" s="264"/>
      <c r="B36" s="308"/>
      <c r="C36" s="330">
        <v>4.0</v>
      </c>
      <c r="D36" s="377" t="s">
        <v>191</v>
      </c>
      <c r="E36" s="332">
        <v>14.0</v>
      </c>
      <c r="F36" s="333">
        <v>60.0</v>
      </c>
      <c r="G36" s="336"/>
      <c r="H36" s="334">
        <v>12.0</v>
      </c>
      <c r="I36" s="333">
        <v>70.0</v>
      </c>
      <c r="J36" s="339"/>
      <c r="K36" s="332"/>
      <c r="L36" s="333"/>
      <c r="M36" s="336"/>
      <c r="N36" s="334"/>
      <c r="O36" s="333"/>
      <c r="P36" s="339"/>
      <c r="Q36" s="336"/>
      <c r="R36" s="338"/>
      <c r="S36" s="336"/>
      <c r="T36" s="319">
        <f t="shared" si="2"/>
        <v>1680</v>
      </c>
      <c r="U36" s="265"/>
      <c r="V36" s="275"/>
      <c r="W36" s="276"/>
      <c r="X36" s="276"/>
      <c r="Y36" s="276"/>
      <c r="Z36" s="276"/>
      <c r="AA36" s="291"/>
      <c r="AB36" s="22"/>
      <c r="AC36" s="22"/>
      <c r="AD36" s="22"/>
      <c r="AE36" s="28"/>
      <c r="AF36" s="293"/>
    </row>
    <row r="37">
      <c r="A37" s="264"/>
      <c r="B37" s="308"/>
      <c r="C37" s="309">
        <v>5.0</v>
      </c>
      <c r="D37" s="382" t="s">
        <v>192</v>
      </c>
      <c r="E37" s="311">
        <v>7.0</v>
      </c>
      <c r="F37" s="342">
        <v>40.0</v>
      </c>
      <c r="G37" s="318"/>
      <c r="H37" s="343">
        <v>6.0</v>
      </c>
      <c r="I37" s="342">
        <v>20.0</v>
      </c>
      <c r="J37" s="344"/>
      <c r="K37" s="311"/>
      <c r="L37" s="342"/>
      <c r="M37" s="318"/>
      <c r="N37" s="345"/>
      <c r="O37" s="346"/>
      <c r="P37" s="344"/>
      <c r="Q37" s="318"/>
      <c r="R37" s="346"/>
      <c r="S37" s="318"/>
      <c r="T37" s="319">
        <f t="shared" si="2"/>
        <v>400</v>
      </c>
      <c r="U37" s="265"/>
      <c r="V37" s="347">
        <v>1.0</v>
      </c>
      <c r="W37" s="348">
        <v>2.0</v>
      </c>
      <c r="X37" s="349">
        <v>3.0</v>
      </c>
      <c r="Y37" s="350">
        <v>4.0</v>
      </c>
      <c r="Z37" s="351">
        <v>5.0</v>
      </c>
      <c r="AA37" s="352">
        <v>6.0</v>
      </c>
      <c r="AB37" s="353">
        <v>7.0</v>
      </c>
      <c r="AC37" s="354">
        <v>8.0</v>
      </c>
      <c r="AD37" s="355">
        <v>9.0</v>
      </c>
      <c r="AE37" s="356">
        <v>10.0</v>
      </c>
      <c r="AF37" s="293"/>
    </row>
    <row r="38">
      <c r="A38" s="264"/>
      <c r="B38" s="308"/>
      <c r="C38" s="330">
        <v>6.0</v>
      </c>
      <c r="D38" s="377" t="s">
        <v>115</v>
      </c>
      <c r="E38" s="332">
        <v>12.0</v>
      </c>
      <c r="F38" s="333">
        <v>60.0</v>
      </c>
      <c r="G38" s="336"/>
      <c r="H38" s="334">
        <v>12.0</v>
      </c>
      <c r="I38" s="333">
        <v>60.0</v>
      </c>
      <c r="J38" s="339"/>
      <c r="K38" s="336"/>
      <c r="L38" s="333"/>
      <c r="M38" s="336"/>
      <c r="N38" s="337"/>
      <c r="O38" s="338"/>
      <c r="P38" s="339"/>
      <c r="Q38" s="336"/>
      <c r="R38" s="338"/>
      <c r="S38" s="336"/>
      <c r="T38" s="319">
        <f t="shared" si="2"/>
        <v>1440</v>
      </c>
      <c r="U38" s="265"/>
      <c r="V38" s="293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</row>
    <row r="39">
      <c r="A39" s="264"/>
      <c r="B39" s="308"/>
      <c r="C39" s="309">
        <v>7.0</v>
      </c>
      <c r="D39" s="360"/>
      <c r="E39" s="318"/>
      <c r="F39" s="346"/>
      <c r="G39" s="318"/>
      <c r="H39" s="345"/>
      <c r="I39" s="346"/>
      <c r="J39" s="344"/>
      <c r="K39" s="318"/>
      <c r="L39" s="346"/>
      <c r="M39" s="318"/>
      <c r="N39" s="345"/>
      <c r="O39" s="346"/>
      <c r="P39" s="344"/>
      <c r="Q39" s="318"/>
      <c r="R39" s="346"/>
      <c r="S39" s="318"/>
      <c r="T39" s="319">
        <f t="shared" si="2"/>
        <v>0</v>
      </c>
      <c r="U39" s="265"/>
      <c r="V39" s="357" t="s">
        <v>231</v>
      </c>
      <c r="W39" s="268"/>
      <c r="X39" s="268"/>
      <c r="Y39" s="268"/>
      <c r="Z39" s="268"/>
      <c r="AA39" s="268"/>
      <c r="AB39" s="268"/>
      <c r="AC39" s="268"/>
      <c r="AD39" s="268"/>
      <c r="AE39" s="57"/>
      <c r="AF39" s="293"/>
    </row>
    <row r="40">
      <c r="A40" s="264"/>
      <c r="B40" s="308"/>
      <c r="C40" s="330">
        <v>8.0</v>
      </c>
      <c r="D40" s="358"/>
      <c r="E40" s="336"/>
      <c r="F40" s="338"/>
      <c r="G40" s="336"/>
      <c r="H40" s="337"/>
      <c r="I40" s="338"/>
      <c r="J40" s="339"/>
      <c r="K40" s="336"/>
      <c r="L40" s="338"/>
      <c r="M40" s="336"/>
      <c r="N40" s="337"/>
      <c r="O40" s="338"/>
      <c r="P40" s="339"/>
      <c r="Q40" s="336"/>
      <c r="R40" s="338"/>
      <c r="S40" s="336"/>
      <c r="T40" s="319">
        <f t="shared" si="2"/>
        <v>0</v>
      </c>
      <c r="U40" s="265"/>
      <c r="V40" s="370"/>
      <c r="W40" s="273"/>
      <c r="X40" s="273"/>
      <c r="Y40" s="273"/>
      <c r="Z40" s="273"/>
      <c r="AA40" s="273"/>
      <c r="AB40" s="273"/>
      <c r="AC40" s="273"/>
      <c r="AD40" s="273"/>
      <c r="AE40" s="270"/>
      <c r="AF40" s="293"/>
    </row>
    <row r="41">
      <c r="A41" s="264"/>
      <c r="B41" s="308"/>
      <c r="C41" s="309">
        <v>9.0</v>
      </c>
      <c r="D41" s="360"/>
      <c r="E41" s="318"/>
      <c r="F41" s="346"/>
      <c r="G41" s="318"/>
      <c r="H41" s="345"/>
      <c r="I41" s="346"/>
      <c r="J41" s="344"/>
      <c r="K41" s="318"/>
      <c r="L41" s="346"/>
      <c r="M41" s="318"/>
      <c r="N41" s="345"/>
      <c r="O41" s="346"/>
      <c r="P41" s="344"/>
      <c r="Q41" s="318"/>
      <c r="R41" s="346"/>
      <c r="S41" s="318"/>
      <c r="T41" s="319">
        <f t="shared" si="2"/>
        <v>0</v>
      </c>
      <c r="U41" s="265"/>
      <c r="V41" s="90"/>
      <c r="AE41" s="25"/>
      <c r="AF41" s="293"/>
    </row>
    <row r="42">
      <c r="A42" s="264"/>
      <c r="B42" s="308"/>
      <c r="C42" s="330">
        <v>10.0</v>
      </c>
      <c r="D42" s="358"/>
      <c r="E42" s="336"/>
      <c r="F42" s="338"/>
      <c r="G42" s="336"/>
      <c r="H42" s="337"/>
      <c r="I42" s="338"/>
      <c r="J42" s="339"/>
      <c r="K42" s="336"/>
      <c r="L42" s="338"/>
      <c r="M42" s="336"/>
      <c r="N42" s="337"/>
      <c r="O42" s="338"/>
      <c r="P42" s="339"/>
      <c r="Q42" s="336"/>
      <c r="R42" s="338"/>
      <c r="S42" s="336"/>
      <c r="T42" s="319">
        <f t="shared" si="2"/>
        <v>0</v>
      </c>
      <c r="U42" s="265"/>
      <c r="V42" s="90"/>
      <c r="AE42" s="25"/>
      <c r="AF42" s="293"/>
    </row>
    <row r="43">
      <c r="A43" s="264"/>
      <c r="B43" s="361"/>
      <c r="C43" s="362">
        <v>11.0</v>
      </c>
      <c r="D43" s="363"/>
      <c r="E43" s="364"/>
      <c r="F43" s="365"/>
      <c r="G43" s="364"/>
      <c r="H43" s="366"/>
      <c r="I43" s="365"/>
      <c r="J43" s="367"/>
      <c r="K43" s="364"/>
      <c r="L43" s="365"/>
      <c r="M43" s="364"/>
      <c r="N43" s="366"/>
      <c r="O43" s="365"/>
      <c r="P43" s="367"/>
      <c r="Q43" s="364"/>
      <c r="R43" s="365"/>
      <c r="S43" s="364"/>
      <c r="T43" s="319">
        <f t="shared" si="2"/>
        <v>0</v>
      </c>
      <c r="U43" s="265"/>
      <c r="V43" s="27"/>
      <c r="W43" s="22"/>
      <c r="X43" s="22"/>
      <c r="Y43" s="22"/>
      <c r="Z43" s="22"/>
      <c r="AA43" s="22"/>
      <c r="AB43" s="22"/>
      <c r="AC43" s="22"/>
      <c r="AD43" s="22"/>
      <c r="AE43" s="28"/>
      <c r="AF43" s="293"/>
    </row>
    <row r="44">
      <c r="A44" s="264"/>
      <c r="B44" s="368"/>
      <c r="C44" s="265"/>
      <c r="D44" s="265"/>
      <c r="E44" s="265"/>
      <c r="F44" s="265"/>
      <c r="G44" s="265"/>
      <c r="H44" s="265"/>
      <c r="I44" s="265"/>
      <c r="J44" s="265"/>
      <c r="K44" s="29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93"/>
      <c r="W44" s="293"/>
      <c r="X44" s="293"/>
      <c r="Y44" s="293"/>
      <c r="Z44" s="293"/>
      <c r="AA44" s="293"/>
      <c r="AB44" s="293"/>
      <c r="AC44" s="371"/>
      <c r="AD44" s="293"/>
      <c r="AE44" s="293"/>
      <c r="AF44" s="293"/>
    </row>
    <row r="45">
      <c r="A45" s="264"/>
      <c r="B45" s="265"/>
      <c r="C45" s="294" t="s">
        <v>209</v>
      </c>
      <c r="D45" s="295"/>
      <c r="E45" s="296" t="s">
        <v>241</v>
      </c>
      <c r="F45" s="297"/>
      <c r="G45" s="297"/>
      <c r="H45" s="297"/>
      <c r="I45" s="297"/>
      <c r="J45" s="297"/>
      <c r="K45" s="297"/>
      <c r="L45" s="297"/>
      <c r="M45" s="282"/>
      <c r="N45" s="298" t="s">
        <v>211</v>
      </c>
      <c r="O45" s="268"/>
      <c r="P45" s="57"/>
      <c r="Q45" s="286" t="s">
        <v>212</v>
      </c>
      <c r="R45" s="268"/>
      <c r="S45" s="57"/>
      <c r="T45" s="292"/>
      <c r="U45" s="265"/>
      <c r="V45" s="299" t="s">
        <v>213</v>
      </c>
      <c r="W45" s="268"/>
      <c r="X45" s="268"/>
      <c r="Y45" s="268"/>
      <c r="Z45" s="268"/>
      <c r="AA45" s="57"/>
      <c r="AB45" s="300">
        <v>10.0</v>
      </c>
      <c r="AC45" s="273"/>
      <c r="AD45" s="273"/>
      <c r="AE45" s="270"/>
      <c r="AF45" s="293"/>
    </row>
    <row r="46">
      <c r="A46" s="264"/>
      <c r="B46" s="265"/>
      <c r="C46" s="301" t="s">
        <v>214</v>
      </c>
      <c r="D46" s="372">
        <v>45847.0</v>
      </c>
      <c r="E46" s="303" t="s">
        <v>215</v>
      </c>
      <c r="F46" s="22"/>
      <c r="G46" s="28"/>
      <c r="H46" s="304" t="s">
        <v>216</v>
      </c>
      <c r="I46" s="297"/>
      <c r="J46" s="282"/>
      <c r="K46" s="304" t="s">
        <v>217</v>
      </c>
      <c r="L46" s="297"/>
      <c r="M46" s="282"/>
      <c r="N46" s="304" t="s">
        <v>218</v>
      </c>
      <c r="O46" s="297"/>
      <c r="P46" s="282"/>
      <c r="Q46" s="304" t="s">
        <v>219</v>
      </c>
      <c r="R46" s="297"/>
      <c r="S46" s="282"/>
      <c r="T46" s="265"/>
      <c r="U46" s="265"/>
      <c r="V46" s="64"/>
      <c r="AA46" s="63"/>
      <c r="AE46" s="25"/>
      <c r="AF46" s="293"/>
    </row>
    <row r="47">
      <c r="A47" s="264"/>
      <c r="B47" s="305" t="s">
        <v>242</v>
      </c>
      <c r="C47" s="306" t="s">
        <v>221</v>
      </c>
      <c r="D47" s="306" t="s">
        <v>222</v>
      </c>
      <c r="E47" s="301" t="s">
        <v>223</v>
      </c>
      <c r="F47" s="301" t="s">
        <v>224</v>
      </c>
      <c r="G47" s="301" t="s">
        <v>66</v>
      </c>
      <c r="H47" s="301" t="s">
        <v>223</v>
      </c>
      <c r="I47" s="301" t="s">
        <v>224</v>
      </c>
      <c r="J47" s="301" t="s">
        <v>66</v>
      </c>
      <c r="K47" s="301" t="s">
        <v>223</v>
      </c>
      <c r="L47" s="301" t="s">
        <v>224</v>
      </c>
      <c r="M47" s="301" t="s">
        <v>66</v>
      </c>
      <c r="N47" s="301" t="s">
        <v>223</v>
      </c>
      <c r="O47" s="301" t="s">
        <v>224</v>
      </c>
      <c r="P47" s="301" t="s">
        <v>66</v>
      </c>
      <c r="Q47" s="301" t="s">
        <v>223</v>
      </c>
      <c r="R47" s="301" t="s">
        <v>224</v>
      </c>
      <c r="S47" s="301" t="s">
        <v>66</v>
      </c>
      <c r="T47" s="307" t="s">
        <v>225</v>
      </c>
      <c r="U47" s="265"/>
      <c r="V47" s="275"/>
      <c r="W47" s="276"/>
      <c r="X47" s="276"/>
      <c r="Y47" s="276"/>
      <c r="Z47" s="276"/>
      <c r="AA47" s="291"/>
      <c r="AB47" s="22"/>
      <c r="AC47" s="22"/>
      <c r="AD47" s="22"/>
      <c r="AE47" s="28"/>
      <c r="AF47" s="293"/>
    </row>
    <row r="48">
      <c r="A48" s="264"/>
      <c r="B48" s="308"/>
      <c r="C48" s="309">
        <v>1.0</v>
      </c>
      <c r="D48" s="373" t="s">
        <v>154</v>
      </c>
      <c r="E48" s="374">
        <v>10.0</v>
      </c>
      <c r="F48" s="375">
        <v>7.5</v>
      </c>
      <c r="G48" s="374"/>
      <c r="H48" s="376">
        <v>10.0</v>
      </c>
      <c r="I48" s="375">
        <v>7.5</v>
      </c>
      <c r="J48" s="317"/>
      <c r="K48" s="311"/>
      <c r="L48" s="312"/>
      <c r="M48" s="318"/>
      <c r="N48" s="315"/>
      <c r="O48" s="316"/>
      <c r="P48" s="317"/>
      <c r="Q48" s="318"/>
      <c r="R48" s="316"/>
      <c r="S48" s="318"/>
      <c r="T48" s="319">
        <f t="shared" ref="T48:T58" si="3">(E48*F48)+(H48*I48)+(K48*L48)+(N48*O48)+(Q48*R48)</f>
        <v>150</v>
      </c>
      <c r="U48" s="265"/>
      <c r="V48" s="320">
        <v>1.0</v>
      </c>
      <c r="W48" s="321">
        <v>2.0</v>
      </c>
      <c r="X48" s="322">
        <v>3.0</v>
      </c>
      <c r="Y48" s="323">
        <v>4.0</v>
      </c>
      <c r="Z48" s="324">
        <v>5.0</v>
      </c>
      <c r="AA48" s="325">
        <v>6.0</v>
      </c>
      <c r="AB48" s="326">
        <v>7.0</v>
      </c>
      <c r="AC48" s="327">
        <v>8.0</v>
      </c>
      <c r="AD48" s="328">
        <v>9.0</v>
      </c>
      <c r="AE48" s="329">
        <v>10.0</v>
      </c>
      <c r="AF48" s="293"/>
    </row>
    <row r="49">
      <c r="A49" s="264"/>
      <c r="B49" s="308"/>
      <c r="C49" s="330">
        <v>2.0</v>
      </c>
      <c r="D49" s="377" t="s">
        <v>155</v>
      </c>
      <c r="E49" s="378">
        <v>10.0</v>
      </c>
      <c r="F49" s="379">
        <v>20.0</v>
      </c>
      <c r="G49" s="380"/>
      <c r="H49" s="381">
        <v>8.0</v>
      </c>
      <c r="I49" s="379">
        <v>20.0</v>
      </c>
      <c r="J49" s="339"/>
      <c r="K49" s="332"/>
      <c r="L49" s="333"/>
      <c r="M49" s="336"/>
      <c r="N49" s="337"/>
      <c r="O49" s="338"/>
      <c r="P49" s="339"/>
      <c r="Q49" s="336"/>
      <c r="R49" s="338"/>
      <c r="S49" s="336"/>
      <c r="T49" s="319">
        <f t="shared" si="3"/>
        <v>360</v>
      </c>
      <c r="U49" s="265"/>
      <c r="V49" s="340" t="s">
        <v>227</v>
      </c>
      <c r="W49" s="268"/>
      <c r="X49" s="268"/>
      <c r="Y49" s="268"/>
      <c r="Z49" s="268"/>
      <c r="AA49" s="57"/>
      <c r="AB49" s="300">
        <v>7.0</v>
      </c>
      <c r="AC49" s="273"/>
      <c r="AD49" s="273"/>
      <c r="AE49" s="270"/>
      <c r="AF49" s="293"/>
    </row>
    <row r="50">
      <c r="A50" s="264"/>
      <c r="B50" s="308"/>
      <c r="C50" s="309">
        <v>3.0</v>
      </c>
      <c r="D50" s="382" t="s">
        <v>156</v>
      </c>
      <c r="E50" s="374">
        <v>8.0</v>
      </c>
      <c r="F50" s="383">
        <v>20.0</v>
      </c>
      <c r="G50" s="384"/>
      <c r="H50" s="385">
        <v>7.0</v>
      </c>
      <c r="I50" s="383">
        <v>20.0</v>
      </c>
      <c r="J50" s="344"/>
      <c r="K50" s="311"/>
      <c r="L50" s="342"/>
      <c r="M50" s="318"/>
      <c r="N50" s="345"/>
      <c r="O50" s="346"/>
      <c r="P50" s="344"/>
      <c r="Q50" s="318"/>
      <c r="R50" s="346"/>
      <c r="S50" s="318"/>
      <c r="T50" s="319">
        <f t="shared" si="3"/>
        <v>300</v>
      </c>
      <c r="U50" s="265"/>
      <c r="V50" s="64"/>
      <c r="AA50" s="63"/>
      <c r="AE50" s="25"/>
      <c r="AF50" s="293"/>
    </row>
    <row r="51">
      <c r="A51" s="264"/>
      <c r="B51" s="308"/>
      <c r="C51" s="330">
        <v>4.0</v>
      </c>
      <c r="D51" s="377" t="s">
        <v>159</v>
      </c>
      <c r="E51" s="378">
        <v>12.0</v>
      </c>
      <c r="F51" s="379">
        <v>55.0</v>
      </c>
      <c r="G51" s="380"/>
      <c r="H51" s="381">
        <v>10.0</v>
      </c>
      <c r="I51" s="379">
        <v>55.0</v>
      </c>
      <c r="J51" s="339"/>
      <c r="K51" s="332"/>
      <c r="L51" s="333"/>
      <c r="M51" s="336"/>
      <c r="N51" s="337"/>
      <c r="O51" s="338"/>
      <c r="P51" s="339"/>
      <c r="Q51" s="336"/>
      <c r="R51" s="338"/>
      <c r="S51" s="336"/>
      <c r="T51" s="319">
        <f t="shared" si="3"/>
        <v>1210</v>
      </c>
      <c r="U51" s="265"/>
      <c r="V51" s="275"/>
      <c r="W51" s="276"/>
      <c r="X51" s="276"/>
      <c r="Y51" s="276"/>
      <c r="Z51" s="276"/>
      <c r="AA51" s="291"/>
      <c r="AB51" s="22"/>
      <c r="AC51" s="22"/>
      <c r="AD51" s="22"/>
      <c r="AE51" s="28"/>
      <c r="AF51" s="293"/>
    </row>
    <row r="52">
      <c r="A52" s="264"/>
      <c r="B52" s="308"/>
      <c r="C52" s="309">
        <v>5.0</v>
      </c>
      <c r="D52" s="382" t="s">
        <v>161</v>
      </c>
      <c r="E52" s="374">
        <v>10.0</v>
      </c>
      <c r="F52" s="383">
        <v>25.0</v>
      </c>
      <c r="G52" s="384"/>
      <c r="H52" s="385">
        <v>9.0</v>
      </c>
      <c r="I52" s="383">
        <v>25.0</v>
      </c>
      <c r="J52" s="344"/>
      <c r="K52" s="311"/>
      <c r="L52" s="342"/>
      <c r="M52" s="318"/>
      <c r="N52" s="345"/>
      <c r="O52" s="346"/>
      <c r="P52" s="344"/>
      <c r="Q52" s="318"/>
      <c r="R52" s="346"/>
      <c r="S52" s="318"/>
      <c r="T52" s="319">
        <f t="shared" si="3"/>
        <v>475</v>
      </c>
      <c r="U52" s="265"/>
      <c r="V52" s="347">
        <v>1.0</v>
      </c>
      <c r="W52" s="348">
        <v>2.0</v>
      </c>
      <c r="X52" s="349">
        <v>3.0</v>
      </c>
      <c r="Y52" s="350">
        <v>4.0</v>
      </c>
      <c r="Z52" s="351">
        <v>5.0</v>
      </c>
      <c r="AA52" s="352">
        <v>6.0</v>
      </c>
      <c r="AB52" s="353">
        <v>7.0</v>
      </c>
      <c r="AC52" s="354">
        <v>8.0</v>
      </c>
      <c r="AD52" s="355">
        <v>9.0</v>
      </c>
      <c r="AE52" s="356">
        <v>10.0</v>
      </c>
      <c r="AF52" s="293"/>
    </row>
    <row r="53">
      <c r="A53" s="264"/>
      <c r="B53" s="308"/>
      <c r="C53" s="330">
        <v>6.0</v>
      </c>
      <c r="D53" s="331" t="s">
        <v>107</v>
      </c>
      <c r="E53" s="378">
        <v>16.0</v>
      </c>
      <c r="F53" s="379">
        <v>7.5</v>
      </c>
      <c r="G53" s="378"/>
      <c r="H53" s="381">
        <v>14.0</v>
      </c>
      <c r="I53" s="379">
        <v>7.5</v>
      </c>
      <c r="J53" s="335"/>
      <c r="K53" s="332"/>
      <c r="L53" s="333"/>
      <c r="M53" s="336"/>
      <c r="N53" s="337"/>
      <c r="O53" s="338"/>
      <c r="P53" s="339"/>
      <c r="Q53" s="336"/>
      <c r="R53" s="338"/>
      <c r="S53" s="336"/>
      <c r="T53" s="319">
        <f t="shared" si="3"/>
        <v>225</v>
      </c>
      <c r="U53" s="265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</row>
    <row r="54" ht="37.5" customHeight="1">
      <c r="A54" s="264"/>
      <c r="B54" s="308"/>
      <c r="C54" s="309">
        <v>7.0</v>
      </c>
      <c r="D54" s="382" t="s">
        <v>163</v>
      </c>
      <c r="E54" s="374">
        <v>14.0</v>
      </c>
      <c r="F54" s="383">
        <v>7.5</v>
      </c>
      <c r="G54" s="384"/>
      <c r="H54" s="385">
        <v>10.0</v>
      </c>
      <c r="I54" s="383">
        <v>5.0</v>
      </c>
      <c r="J54" s="344"/>
      <c r="K54" s="311"/>
      <c r="L54" s="342"/>
      <c r="M54" s="318"/>
      <c r="N54" s="345"/>
      <c r="O54" s="346"/>
      <c r="P54" s="344"/>
      <c r="Q54" s="318"/>
      <c r="R54" s="346"/>
      <c r="S54" s="318"/>
      <c r="T54" s="319">
        <f t="shared" si="3"/>
        <v>155</v>
      </c>
      <c r="U54" s="265"/>
      <c r="V54" s="357" t="s">
        <v>231</v>
      </c>
      <c r="W54" s="268"/>
      <c r="X54" s="268"/>
      <c r="Y54" s="268"/>
      <c r="Z54" s="268"/>
      <c r="AA54" s="268"/>
      <c r="AB54" s="268"/>
      <c r="AC54" s="268"/>
      <c r="AD54" s="268"/>
      <c r="AE54" s="57"/>
      <c r="AF54" s="293"/>
    </row>
    <row r="55">
      <c r="A55" s="264"/>
      <c r="B55" s="308"/>
      <c r="C55" s="330">
        <v>8.0</v>
      </c>
      <c r="D55" s="358"/>
      <c r="E55" s="336"/>
      <c r="F55" s="338"/>
      <c r="G55" s="336"/>
      <c r="H55" s="337"/>
      <c r="I55" s="338"/>
      <c r="J55" s="339"/>
      <c r="K55" s="336"/>
      <c r="L55" s="338"/>
      <c r="M55" s="336"/>
      <c r="N55" s="337"/>
      <c r="O55" s="338"/>
      <c r="P55" s="339"/>
      <c r="Q55" s="336"/>
      <c r="R55" s="338"/>
      <c r="S55" s="336"/>
      <c r="T55" s="319">
        <f t="shared" si="3"/>
        <v>0</v>
      </c>
      <c r="U55" s="265"/>
      <c r="V55" s="370"/>
      <c r="W55" s="273"/>
      <c r="X55" s="273"/>
      <c r="Y55" s="273"/>
      <c r="Z55" s="273"/>
      <c r="AA55" s="273"/>
      <c r="AB55" s="273"/>
      <c r="AC55" s="273"/>
      <c r="AD55" s="273"/>
      <c r="AE55" s="270"/>
      <c r="AF55" s="293"/>
    </row>
    <row r="56">
      <c r="A56" s="264"/>
      <c r="B56" s="308"/>
      <c r="C56" s="309">
        <v>9.0</v>
      </c>
      <c r="D56" s="360"/>
      <c r="E56" s="318"/>
      <c r="F56" s="346"/>
      <c r="G56" s="318"/>
      <c r="H56" s="345"/>
      <c r="I56" s="346"/>
      <c r="J56" s="344"/>
      <c r="K56" s="318"/>
      <c r="L56" s="346"/>
      <c r="M56" s="318"/>
      <c r="N56" s="345"/>
      <c r="O56" s="346"/>
      <c r="P56" s="344"/>
      <c r="Q56" s="318"/>
      <c r="R56" s="346"/>
      <c r="S56" s="318"/>
      <c r="T56" s="319">
        <f t="shared" si="3"/>
        <v>0</v>
      </c>
      <c r="U56" s="265"/>
      <c r="V56" s="90"/>
      <c r="AE56" s="25"/>
      <c r="AF56" s="293"/>
    </row>
    <row r="57">
      <c r="A57" s="264"/>
      <c r="B57" s="308"/>
      <c r="C57" s="330">
        <v>10.0</v>
      </c>
      <c r="D57" s="358"/>
      <c r="E57" s="336"/>
      <c r="F57" s="338"/>
      <c r="G57" s="336"/>
      <c r="H57" s="337"/>
      <c r="I57" s="338"/>
      <c r="J57" s="339"/>
      <c r="K57" s="336"/>
      <c r="L57" s="338"/>
      <c r="M57" s="336"/>
      <c r="N57" s="337"/>
      <c r="O57" s="338"/>
      <c r="P57" s="339"/>
      <c r="Q57" s="336"/>
      <c r="R57" s="338"/>
      <c r="S57" s="336"/>
      <c r="T57" s="319">
        <f t="shared" si="3"/>
        <v>0</v>
      </c>
      <c r="U57" s="265"/>
      <c r="V57" s="90"/>
      <c r="AE57" s="25"/>
      <c r="AF57" s="293"/>
    </row>
    <row r="58">
      <c r="A58" s="264"/>
      <c r="B58" s="361"/>
      <c r="C58" s="362">
        <v>11.0</v>
      </c>
      <c r="D58" s="363"/>
      <c r="E58" s="364"/>
      <c r="F58" s="365"/>
      <c r="G58" s="364"/>
      <c r="H58" s="366"/>
      <c r="I58" s="365"/>
      <c r="J58" s="367"/>
      <c r="K58" s="364"/>
      <c r="L58" s="365"/>
      <c r="M58" s="364"/>
      <c r="N58" s="366"/>
      <c r="O58" s="365"/>
      <c r="P58" s="367"/>
      <c r="Q58" s="364"/>
      <c r="R58" s="365"/>
      <c r="S58" s="364"/>
      <c r="T58" s="319">
        <f t="shared" si="3"/>
        <v>0</v>
      </c>
      <c r="U58" s="265"/>
      <c r="V58" s="27"/>
      <c r="W58" s="22"/>
      <c r="X58" s="22"/>
      <c r="Y58" s="22"/>
      <c r="Z58" s="22"/>
      <c r="AA58" s="22"/>
      <c r="AB58" s="22"/>
      <c r="AC58" s="22"/>
      <c r="AD58" s="22"/>
      <c r="AE58" s="28"/>
      <c r="AF58" s="293"/>
    </row>
    <row r="59">
      <c r="A59" s="264"/>
      <c r="B59" s="368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</row>
    <row r="60">
      <c r="A60" s="264"/>
      <c r="B60" s="265"/>
      <c r="C60" s="294" t="s">
        <v>209</v>
      </c>
      <c r="D60" s="295"/>
      <c r="E60" s="296" t="s">
        <v>248</v>
      </c>
      <c r="F60" s="297"/>
      <c r="G60" s="297"/>
      <c r="H60" s="297"/>
      <c r="I60" s="297"/>
      <c r="J60" s="297"/>
      <c r="K60" s="297"/>
      <c r="L60" s="297"/>
      <c r="M60" s="282"/>
      <c r="N60" s="298" t="s">
        <v>211</v>
      </c>
      <c r="O60" s="268"/>
      <c r="P60" s="57"/>
      <c r="Q60" s="286" t="s">
        <v>212</v>
      </c>
      <c r="R60" s="268"/>
      <c r="S60" s="57"/>
      <c r="T60" s="292"/>
      <c r="U60" s="265"/>
      <c r="V60" s="299" t="s">
        <v>213</v>
      </c>
      <c r="W60" s="268"/>
      <c r="X60" s="268"/>
      <c r="Y60" s="268"/>
      <c r="Z60" s="268"/>
      <c r="AA60" s="57"/>
      <c r="AB60" s="300">
        <v>5.0</v>
      </c>
      <c r="AC60" s="273"/>
      <c r="AD60" s="273"/>
      <c r="AE60" s="270"/>
      <c r="AF60" s="293"/>
    </row>
    <row r="61">
      <c r="A61" s="264"/>
      <c r="B61" s="265"/>
      <c r="C61" s="301" t="s">
        <v>214</v>
      </c>
      <c r="D61" s="372">
        <v>45849.0</v>
      </c>
      <c r="E61" s="303" t="s">
        <v>215</v>
      </c>
      <c r="F61" s="22"/>
      <c r="G61" s="28"/>
      <c r="H61" s="304" t="s">
        <v>216</v>
      </c>
      <c r="I61" s="297"/>
      <c r="J61" s="282"/>
      <c r="K61" s="304" t="s">
        <v>217</v>
      </c>
      <c r="L61" s="297"/>
      <c r="M61" s="282"/>
      <c r="N61" s="304" t="s">
        <v>218</v>
      </c>
      <c r="O61" s="297"/>
      <c r="P61" s="282"/>
      <c r="Q61" s="304" t="s">
        <v>219</v>
      </c>
      <c r="R61" s="297"/>
      <c r="S61" s="282"/>
      <c r="T61" s="265"/>
      <c r="U61" s="265"/>
      <c r="V61" s="64"/>
      <c r="AA61" s="63"/>
      <c r="AE61" s="25"/>
      <c r="AF61" s="293"/>
    </row>
    <row r="62">
      <c r="A62" s="264"/>
      <c r="B62" s="305" t="s">
        <v>245</v>
      </c>
      <c r="C62" s="306" t="s">
        <v>221</v>
      </c>
      <c r="D62" s="306" t="s">
        <v>222</v>
      </c>
      <c r="E62" s="301" t="s">
        <v>223</v>
      </c>
      <c r="F62" s="301" t="s">
        <v>224</v>
      </c>
      <c r="G62" s="301" t="s">
        <v>66</v>
      </c>
      <c r="H62" s="301" t="s">
        <v>223</v>
      </c>
      <c r="I62" s="301" t="s">
        <v>224</v>
      </c>
      <c r="J62" s="301" t="s">
        <v>66</v>
      </c>
      <c r="K62" s="301" t="s">
        <v>223</v>
      </c>
      <c r="L62" s="301" t="s">
        <v>224</v>
      </c>
      <c r="M62" s="301" t="s">
        <v>66</v>
      </c>
      <c r="N62" s="301" t="s">
        <v>223</v>
      </c>
      <c r="O62" s="301" t="s">
        <v>224</v>
      </c>
      <c r="P62" s="301" t="s">
        <v>66</v>
      </c>
      <c r="Q62" s="301" t="s">
        <v>223</v>
      </c>
      <c r="R62" s="301" t="s">
        <v>224</v>
      </c>
      <c r="S62" s="301" t="s">
        <v>66</v>
      </c>
      <c r="T62" s="307" t="s">
        <v>225</v>
      </c>
      <c r="U62" s="265"/>
      <c r="V62" s="275"/>
      <c r="W62" s="276"/>
      <c r="X62" s="276"/>
      <c r="Y62" s="276"/>
      <c r="Z62" s="276"/>
      <c r="AA62" s="291"/>
      <c r="AB62" s="22"/>
      <c r="AC62" s="22"/>
      <c r="AD62" s="22"/>
      <c r="AE62" s="28"/>
      <c r="AF62" s="293"/>
    </row>
    <row r="63" ht="33.75" customHeight="1">
      <c r="A63" s="264"/>
      <c r="B63" s="308"/>
      <c r="C63" s="309">
        <v>1.0</v>
      </c>
      <c r="D63" s="373" t="s">
        <v>130</v>
      </c>
      <c r="E63" s="374">
        <v>11.0</v>
      </c>
      <c r="F63" s="375">
        <v>10.0</v>
      </c>
      <c r="G63" s="384"/>
      <c r="H63" s="376">
        <v>10.0</v>
      </c>
      <c r="I63" s="375">
        <v>10.0</v>
      </c>
      <c r="J63" s="317"/>
      <c r="K63" s="311"/>
      <c r="L63" s="312"/>
      <c r="M63" s="318"/>
      <c r="N63" s="315"/>
      <c r="O63" s="316"/>
      <c r="P63" s="317"/>
      <c r="Q63" s="318"/>
      <c r="R63" s="316"/>
      <c r="S63" s="318"/>
      <c r="T63" s="319">
        <f t="shared" ref="T63:T73" si="4">(E63*F63)+(H63*I63)+(K63*L63)+(N63*O63)+(Q63*R63)</f>
        <v>210</v>
      </c>
      <c r="U63" s="265"/>
      <c r="V63" s="320">
        <v>1.0</v>
      </c>
      <c r="W63" s="321">
        <v>2.0</v>
      </c>
      <c r="X63" s="322">
        <v>3.0</v>
      </c>
      <c r="Y63" s="323">
        <v>4.0</v>
      </c>
      <c r="Z63" s="324">
        <v>5.0</v>
      </c>
      <c r="AA63" s="325">
        <v>6.0</v>
      </c>
      <c r="AB63" s="326">
        <v>7.0</v>
      </c>
      <c r="AC63" s="327">
        <v>8.0</v>
      </c>
      <c r="AD63" s="328">
        <v>9.0</v>
      </c>
      <c r="AE63" s="329">
        <v>10.0</v>
      </c>
      <c r="AF63" s="293"/>
    </row>
    <row r="64" ht="33.75" customHeight="1">
      <c r="A64" s="264"/>
      <c r="B64" s="308"/>
      <c r="C64" s="330">
        <v>2.0</v>
      </c>
      <c r="D64" s="377" t="s">
        <v>183</v>
      </c>
      <c r="E64" s="378">
        <v>16.0</v>
      </c>
      <c r="F64" s="379">
        <v>15.0</v>
      </c>
      <c r="G64" s="380"/>
      <c r="H64" s="381">
        <v>14.0</v>
      </c>
      <c r="I64" s="379">
        <v>15.0</v>
      </c>
      <c r="J64" s="339"/>
      <c r="K64" s="332"/>
      <c r="L64" s="333"/>
      <c r="M64" s="336"/>
      <c r="N64" s="337"/>
      <c r="O64" s="338"/>
      <c r="P64" s="339"/>
      <c r="Q64" s="336"/>
      <c r="R64" s="338"/>
      <c r="S64" s="336"/>
      <c r="T64" s="319">
        <f t="shared" si="4"/>
        <v>450</v>
      </c>
      <c r="U64" s="265"/>
      <c r="V64" s="340" t="s">
        <v>227</v>
      </c>
      <c r="W64" s="268"/>
      <c r="X64" s="268"/>
      <c r="Y64" s="268"/>
      <c r="Z64" s="268"/>
      <c r="AA64" s="57"/>
      <c r="AB64" s="300">
        <v>7.0</v>
      </c>
      <c r="AC64" s="273"/>
      <c r="AD64" s="273"/>
      <c r="AE64" s="270"/>
      <c r="AF64" s="293"/>
    </row>
    <row r="65" ht="33.75" customHeight="1">
      <c r="A65" s="264"/>
      <c r="B65" s="308"/>
      <c r="C65" s="309">
        <v>3.0</v>
      </c>
      <c r="D65" s="382" t="s">
        <v>131</v>
      </c>
      <c r="E65" s="374">
        <v>12.0</v>
      </c>
      <c r="F65" s="383">
        <v>45.0</v>
      </c>
      <c r="G65" s="384"/>
      <c r="H65" s="385">
        <v>12.0</v>
      </c>
      <c r="I65" s="383">
        <v>45.0</v>
      </c>
      <c r="J65" s="344"/>
      <c r="K65" s="311"/>
      <c r="L65" s="342"/>
      <c r="M65" s="318"/>
      <c r="N65" s="345"/>
      <c r="O65" s="346"/>
      <c r="P65" s="344"/>
      <c r="Q65" s="318"/>
      <c r="R65" s="346"/>
      <c r="S65" s="318"/>
      <c r="T65" s="319">
        <f t="shared" si="4"/>
        <v>1080</v>
      </c>
      <c r="U65" s="265"/>
      <c r="V65" s="64"/>
      <c r="AA65" s="63"/>
      <c r="AE65" s="25"/>
      <c r="AF65" s="293"/>
    </row>
    <row r="66" ht="33.75" customHeight="1">
      <c r="A66" s="264"/>
      <c r="B66" s="308"/>
      <c r="C66" s="330">
        <v>4.0</v>
      </c>
      <c r="D66" s="377" t="s">
        <v>106</v>
      </c>
      <c r="E66" s="378">
        <v>10.0</v>
      </c>
      <c r="F66" s="379">
        <v>30.0</v>
      </c>
      <c r="G66" s="380"/>
      <c r="H66" s="381">
        <v>10.0</v>
      </c>
      <c r="I66" s="379">
        <v>30.0</v>
      </c>
      <c r="J66" s="339"/>
      <c r="K66" s="332"/>
      <c r="L66" s="333"/>
      <c r="M66" s="336"/>
      <c r="N66" s="337"/>
      <c r="O66" s="338"/>
      <c r="P66" s="339"/>
      <c r="Q66" s="336"/>
      <c r="R66" s="338"/>
      <c r="S66" s="336"/>
      <c r="T66" s="319">
        <f t="shared" si="4"/>
        <v>600</v>
      </c>
      <c r="U66" s="265"/>
      <c r="V66" s="275"/>
      <c r="W66" s="276"/>
      <c r="X66" s="276"/>
      <c r="Y66" s="276"/>
      <c r="Z66" s="276"/>
      <c r="AA66" s="291"/>
      <c r="AB66" s="22"/>
      <c r="AC66" s="22"/>
      <c r="AD66" s="22"/>
      <c r="AE66" s="28"/>
      <c r="AF66" s="293"/>
    </row>
    <row r="67" ht="33.75" customHeight="1">
      <c r="A67" s="264"/>
      <c r="B67" s="308"/>
      <c r="C67" s="309">
        <v>5.0</v>
      </c>
      <c r="D67" s="382" t="s">
        <v>185</v>
      </c>
      <c r="E67" s="374">
        <v>10.0</v>
      </c>
      <c r="F67" s="383">
        <v>30.0</v>
      </c>
      <c r="G67" s="384"/>
      <c r="H67" s="385">
        <v>10.0</v>
      </c>
      <c r="I67" s="383">
        <v>30.0</v>
      </c>
      <c r="J67" s="344"/>
      <c r="K67" s="311"/>
      <c r="L67" s="342"/>
      <c r="M67" s="318"/>
      <c r="N67" s="343"/>
      <c r="O67" s="342"/>
      <c r="P67" s="344"/>
      <c r="Q67" s="318"/>
      <c r="R67" s="346"/>
      <c r="S67" s="318"/>
      <c r="T67" s="319">
        <f t="shared" si="4"/>
        <v>600</v>
      </c>
      <c r="U67" s="265"/>
      <c r="V67" s="347">
        <v>1.0</v>
      </c>
      <c r="W67" s="348">
        <v>2.0</v>
      </c>
      <c r="X67" s="349">
        <v>3.0</v>
      </c>
      <c r="Y67" s="350">
        <v>4.0</v>
      </c>
      <c r="Z67" s="351">
        <v>5.0</v>
      </c>
      <c r="AA67" s="352">
        <v>6.0</v>
      </c>
      <c r="AB67" s="353">
        <v>7.0</v>
      </c>
      <c r="AC67" s="354">
        <v>8.0</v>
      </c>
      <c r="AD67" s="355">
        <v>9.0</v>
      </c>
      <c r="AE67" s="356">
        <v>10.0</v>
      </c>
      <c r="AF67" s="293"/>
    </row>
    <row r="68" ht="33.75" customHeight="1">
      <c r="A68" s="264"/>
      <c r="B68" s="308"/>
      <c r="C68" s="330">
        <v>6.0</v>
      </c>
      <c r="D68" s="331" t="s">
        <v>186</v>
      </c>
      <c r="E68" s="378"/>
      <c r="F68" s="390"/>
      <c r="G68" s="380"/>
      <c r="H68" s="381"/>
      <c r="I68" s="390"/>
      <c r="J68" s="339"/>
      <c r="K68" s="332"/>
      <c r="L68" s="333"/>
      <c r="M68" s="336"/>
      <c r="N68" s="337"/>
      <c r="O68" s="338"/>
      <c r="P68" s="339"/>
      <c r="Q68" s="336"/>
      <c r="R68" s="338"/>
      <c r="S68" s="336"/>
      <c r="T68" s="319">
        <f t="shared" si="4"/>
        <v>0</v>
      </c>
      <c r="U68" s="265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</row>
    <row r="69" ht="33.75" customHeight="1">
      <c r="A69" s="264"/>
      <c r="B69" s="308"/>
      <c r="C69" s="309">
        <v>7.0</v>
      </c>
      <c r="D69" s="382" t="s">
        <v>187</v>
      </c>
      <c r="E69" s="318"/>
      <c r="F69" s="346"/>
      <c r="G69" s="318"/>
      <c r="H69" s="345"/>
      <c r="I69" s="346"/>
      <c r="J69" s="344"/>
      <c r="K69" s="318"/>
      <c r="L69" s="346"/>
      <c r="M69" s="318"/>
      <c r="N69" s="345"/>
      <c r="O69" s="346"/>
      <c r="P69" s="344"/>
      <c r="Q69" s="318"/>
      <c r="R69" s="346"/>
      <c r="S69" s="318"/>
      <c r="T69" s="319">
        <f t="shared" si="4"/>
        <v>0</v>
      </c>
      <c r="U69" s="265"/>
      <c r="V69" s="357" t="s">
        <v>231</v>
      </c>
      <c r="W69" s="268"/>
      <c r="X69" s="268"/>
      <c r="Y69" s="268"/>
      <c r="Z69" s="268"/>
      <c r="AA69" s="268"/>
      <c r="AB69" s="268"/>
      <c r="AC69" s="268"/>
      <c r="AD69" s="268"/>
      <c r="AE69" s="57"/>
      <c r="AF69" s="293"/>
    </row>
    <row r="70" ht="33.75" customHeight="1">
      <c r="A70" s="264"/>
      <c r="B70" s="308"/>
      <c r="C70" s="330">
        <v>8.0</v>
      </c>
      <c r="D70" s="358"/>
      <c r="E70" s="336"/>
      <c r="F70" s="338"/>
      <c r="G70" s="336"/>
      <c r="H70" s="337"/>
      <c r="I70" s="338"/>
      <c r="J70" s="339"/>
      <c r="K70" s="336"/>
      <c r="L70" s="338"/>
      <c r="M70" s="336"/>
      <c r="N70" s="337"/>
      <c r="O70" s="338"/>
      <c r="P70" s="339"/>
      <c r="Q70" s="336"/>
      <c r="R70" s="338"/>
      <c r="S70" s="336"/>
      <c r="T70" s="319">
        <f t="shared" si="4"/>
        <v>0</v>
      </c>
      <c r="U70" s="265"/>
      <c r="V70" s="359" t="s">
        <v>246</v>
      </c>
      <c r="W70" s="273"/>
      <c r="X70" s="273"/>
      <c r="Y70" s="273"/>
      <c r="Z70" s="273"/>
      <c r="AA70" s="273"/>
      <c r="AB70" s="273"/>
      <c r="AC70" s="273"/>
      <c r="AD70" s="273"/>
      <c r="AE70" s="270"/>
      <c r="AF70" s="293"/>
    </row>
    <row r="71" ht="33.75" customHeight="1">
      <c r="A71" s="264"/>
      <c r="B71" s="308"/>
      <c r="C71" s="309">
        <v>9.0</v>
      </c>
      <c r="D71" s="360"/>
      <c r="E71" s="318"/>
      <c r="F71" s="346"/>
      <c r="G71" s="318"/>
      <c r="H71" s="345"/>
      <c r="I71" s="346"/>
      <c r="J71" s="344"/>
      <c r="K71" s="318"/>
      <c r="L71" s="346"/>
      <c r="M71" s="318"/>
      <c r="N71" s="345"/>
      <c r="O71" s="346"/>
      <c r="P71" s="344"/>
      <c r="Q71" s="318"/>
      <c r="R71" s="346"/>
      <c r="S71" s="318"/>
      <c r="T71" s="319">
        <f t="shared" si="4"/>
        <v>0</v>
      </c>
      <c r="U71" s="265"/>
      <c r="V71" s="90"/>
      <c r="AE71" s="25"/>
      <c r="AF71" s="293"/>
    </row>
    <row r="72" ht="33.75" customHeight="1">
      <c r="A72" s="264"/>
      <c r="B72" s="308"/>
      <c r="C72" s="330">
        <v>10.0</v>
      </c>
      <c r="D72" s="358"/>
      <c r="E72" s="336"/>
      <c r="F72" s="338"/>
      <c r="G72" s="336"/>
      <c r="H72" s="337"/>
      <c r="I72" s="338"/>
      <c r="J72" s="339"/>
      <c r="K72" s="336"/>
      <c r="L72" s="338"/>
      <c r="M72" s="336"/>
      <c r="N72" s="337"/>
      <c r="O72" s="338"/>
      <c r="P72" s="339"/>
      <c r="Q72" s="336"/>
      <c r="R72" s="338"/>
      <c r="S72" s="336"/>
      <c r="T72" s="319">
        <f t="shared" si="4"/>
        <v>0</v>
      </c>
      <c r="U72" s="265"/>
      <c r="V72" s="90"/>
      <c r="AE72" s="25"/>
      <c r="AF72" s="293"/>
    </row>
    <row r="73" ht="33.75" customHeight="1">
      <c r="A73" s="264"/>
      <c r="B73" s="361"/>
      <c r="C73" s="362">
        <v>11.0</v>
      </c>
      <c r="D73" s="363"/>
      <c r="E73" s="364"/>
      <c r="F73" s="365"/>
      <c r="G73" s="364"/>
      <c r="H73" s="366"/>
      <c r="I73" s="365"/>
      <c r="J73" s="367"/>
      <c r="K73" s="364"/>
      <c r="L73" s="365"/>
      <c r="M73" s="364"/>
      <c r="N73" s="366"/>
      <c r="O73" s="365"/>
      <c r="P73" s="367"/>
      <c r="Q73" s="364"/>
      <c r="R73" s="365"/>
      <c r="S73" s="364"/>
      <c r="T73" s="319">
        <f t="shared" si="4"/>
        <v>0</v>
      </c>
      <c r="U73" s="265"/>
      <c r="V73" s="27"/>
      <c r="W73" s="22"/>
      <c r="X73" s="22"/>
      <c r="Y73" s="22"/>
      <c r="Z73" s="22"/>
      <c r="AA73" s="22"/>
      <c r="AB73" s="22"/>
      <c r="AC73" s="22"/>
      <c r="AD73" s="22"/>
      <c r="AE73" s="28"/>
      <c r="AF73" s="293"/>
    </row>
    <row r="74">
      <c r="A74" s="264"/>
      <c r="B74" s="368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92"/>
      <c r="R74" s="265"/>
      <c r="S74" s="265"/>
      <c r="T74" s="265"/>
      <c r="U74" s="265"/>
      <c r="V74" s="293"/>
      <c r="W74" s="293"/>
      <c r="X74" s="293"/>
      <c r="Y74" s="293"/>
      <c r="Z74" s="293"/>
      <c r="AA74" s="371"/>
      <c r="AB74" s="293"/>
      <c r="AC74" s="293"/>
      <c r="AD74" s="293"/>
      <c r="AE74" s="293"/>
      <c r="AF74" s="293"/>
    </row>
    <row r="75">
      <c r="A75" s="264"/>
      <c r="B75" s="265"/>
      <c r="C75" s="294" t="s">
        <v>209</v>
      </c>
      <c r="D75" s="295"/>
      <c r="E75" s="296" t="s">
        <v>233</v>
      </c>
      <c r="F75" s="297"/>
      <c r="G75" s="297"/>
      <c r="H75" s="297"/>
      <c r="I75" s="297"/>
      <c r="J75" s="297"/>
      <c r="K75" s="297"/>
      <c r="L75" s="297"/>
      <c r="M75" s="282"/>
      <c r="N75" s="298" t="s">
        <v>211</v>
      </c>
      <c r="O75" s="268"/>
      <c r="P75" s="57"/>
      <c r="Q75" s="286" t="s">
        <v>212</v>
      </c>
      <c r="R75" s="268"/>
      <c r="S75" s="57"/>
      <c r="T75" s="292"/>
      <c r="U75" s="265"/>
      <c r="V75" s="299" t="s">
        <v>213</v>
      </c>
      <c r="W75" s="268"/>
      <c r="X75" s="268"/>
      <c r="Y75" s="268"/>
      <c r="Z75" s="268"/>
      <c r="AA75" s="57"/>
      <c r="AB75" s="300">
        <v>8.0</v>
      </c>
      <c r="AC75" s="273"/>
      <c r="AD75" s="273"/>
      <c r="AE75" s="270"/>
      <c r="AF75" s="293"/>
    </row>
    <row r="76">
      <c r="A76" s="264"/>
      <c r="B76" s="265"/>
      <c r="C76" s="301" t="s">
        <v>214</v>
      </c>
      <c r="D76" s="372">
        <v>45852.0</v>
      </c>
      <c r="E76" s="303" t="s">
        <v>215</v>
      </c>
      <c r="F76" s="22"/>
      <c r="G76" s="28"/>
      <c r="H76" s="304" t="s">
        <v>216</v>
      </c>
      <c r="I76" s="297"/>
      <c r="J76" s="282"/>
      <c r="K76" s="304" t="s">
        <v>217</v>
      </c>
      <c r="L76" s="297"/>
      <c r="M76" s="282"/>
      <c r="N76" s="304" t="s">
        <v>218</v>
      </c>
      <c r="O76" s="297"/>
      <c r="P76" s="282"/>
      <c r="Q76" s="304" t="s">
        <v>219</v>
      </c>
      <c r="R76" s="297"/>
      <c r="S76" s="282"/>
      <c r="T76" s="265"/>
      <c r="U76" s="265"/>
      <c r="V76" s="64"/>
      <c r="AA76" s="63"/>
      <c r="AE76" s="25"/>
      <c r="AF76" s="293"/>
    </row>
    <row r="77">
      <c r="A77" s="264"/>
      <c r="B77" s="305" t="s">
        <v>247</v>
      </c>
      <c r="C77" s="306" t="s">
        <v>221</v>
      </c>
      <c r="D77" s="306" t="s">
        <v>222</v>
      </c>
      <c r="E77" s="301" t="s">
        <v>223</v>
      </c>
      <c r="F77" s="301" t="s">
        <v>224</v>
      </c>
      <c r="G77" s="301" t="s">
        <v>66</v>
      </c>
      <c r="H77" s="301" t="s">
        <v>223</v>
      </c>
      <c r="I77" s="301" t="s">
        <v>224</v>
      </c>
      <c r="J77" s="301" t="s">
        <v>66</v>
      </c>
      <c r="K77" s="301" t="s">
        <v>223</v>
      </c>
      <c r="L77" s="301" t="s">
        <v>224</v>
      </c>
      <c r="M77" s="301" t="s">
        <v>66</v>
      </c>
      <c r="N77" s="301" t="s">
        <v>223</v>
      </c>
      <c r="O77" s="301" t="s">
        <v>224</v>
      </c>
      <c r="P77" s="301" t="s">
        <v>66</v>
      </c>
      <c r="Q77" s="301" t="s">
        <v>223</v>
      </c>
      <c r="R77" s="301" t="s">
        <v>224</v>
      </c>
      <c r="S77" s="301" t="s">
        <v>66</v>
      </c>
      <c r="T77" s="307" t="s">
        <v>225</v>
      </c>
      <c r="U77" s="265"/>
      <c r="V77" s="275"/>
      <c r="W77" s="276"/>
      <c r="X77" s="276"/>
      <c r="Y77" s="276"/>
      <c r="Z77" s="276"/>
      <c r="AA77" s="291"/>
      <c r="AB77" s="22"/>
      <c r="AC77" s="22"/>
      <c r="AD77" s="22"/>
      <c r="AE77" s="28"/>
      <c r="AF77" s="293"/>
    </row>
    <row r="78" ht="33.75" customHeight="1">
      <c r="A78" s="264"/>
      <c r="B78" s="308"/>
      <c r="C78" s="309">
        <v>1.0</v>
      </c>
      <c r="D78" s="369" t="s">
        <v>235</v>
      </c>
      <c r="E78" s="311">
        <v>12.0</v>
      </c>
      <c r="F78" s="312">
        <v>8.0</v>
      </c>
      <c r="G78" s="311"/>
      <c r="H78" s="313">
        <v>11.0</v>
      </c>
      <c r="I78" s="312">
        <v>10.0</v>
      </c>
      <c r="J78" s="317"/>
      <c r="K78" s="392"/>
      <c r="L78" s="312"/>
      <c r="M78" s="318"/>
      <c r="N78" s="315"/>
      <c r="O78" s="316"/>
      <c r="P78" s="317"/>
      <c r="Q78" s="318"/>
      <c r="R78" s="316"/>
      <c r="S78" s="318"/>
      <c r="T78" s="393">
        <f t="shared" ref="T78:T88" si="5">(E78*F78)+(H78*I78)+(K78*L78)+(N78*O78)+(Q78*R78)</f>
        <v>206</v>
      </c>
      <c r="U78" s="265"/>
      <c r="V78" s="320">
        <v>1.0</v>
      </c>
      <c r="W78" s="321">
        <v>2.0</v>
      </c>
      <c r="X78" s="322">
        <v>3.0</v>
      </c>
      <c r="Y78" s="323">
        <v>4.0</v>
      </c>
      <c r="Z78" s="324">
        <v>5.0</v>
      </c>
      <c r="AA78" s="325">
        <v>6.0</v>
      </c>
      <c r="AB78" s="326">
        <v>7.0</v>
      </c>
      <c r="AC78" s="327">
        <v>8.0</v>
      </c>
      <c r="AD78" s="328">
        <v>9.0</v>
      </c>
      <c r="AE78" s="329">
        <v>10.0</v>
      </c>
      <c r="AF78" s="293"/>
    </row>
    <row r="79" ht="33.75" customHeight="1">
      <c r="A79" s="264"/>
      <c r="B79" s="308"/>
      <c r="C79" s="330">
        <v>2.0</v>
      </c>
      <c r="D79" s="331" t="s">
        <v>236</v>
      </c>
      <c r="E79" s="332">
        <v>8.0</v>
      </c>
      <c r="F79" s="333">
        <v>28.0</v>
      </c>
      <c r="G79" s="332"/>
      <c r="H79" s="334">
        <v>8.0</v>
      </c>
      <c r="I79" s="333">
        <v>28.0</v>
      </c>
      <c r="J79" s="339"/>
      <c r="K79" s="332"/>
      <c r="L79" s="333"/>
      <c r="M79" s="336"/>
      <c r="N79" s="337"/>
      <c r="O79" s="338"/>
      <c r="P79" s="339"/>
      <c r="Q79" s="336"/>
      <c r="R79" s="338"/>
      <c r="S79" s="336"/>
      <c r="T79" s="319">
        <f t="shared" si="5"/>
        <v>448</v>
      </c>
      <c r="U79" s="265"/>
      <c r="V79" s="340" t="s">
        <v>227</v>
      </c>
      <c r="W79" s="268"/>
      <c r="X79" s="268"/>
      <c r="Y79" s="268"/>
      <c r="Z79" s="268"/>
      <c r="AA79" s="57"/>
      <c r="AB79" s="300">
        <v>8.0</v>
      </c>
      <c r="AC79" s="273"/>
      <c r="AD79" s="273"/>
      <c r="AE79" s="270"/>
      <c r="AF79" s="293"/>
    </row>
    <row r="80" ht="33.75" customHeight="1">
      <c r="A80" s="264"/>
      <c r="B80" s="308"/>
      <c r="C80" s="309">
        <v>3.0</v>
      </c>
      <c r="D80" s="341" t="s">
        <v>237</v>
      </c>
      <c r="E80" s="311">
        <v>10.0</v>
      </c>
      <c r="F80" s="342">
        <v>35.0</v>
      </c>
      <c r="G80" s="311"/>
      <c r="H80" s="343">
        <v>10.0</v>
      </c>
      <c r="I80" s="342">
        <v>35.0</v>
      </c>
      <c r="J80" s="344"/>
      <c r="K80" s="311"/>
      <c r="L80" s="342"/>
      <c r="M80" s="318"/>
      <c r="N80" s="345"/>
      <c r="O80" s="346"/>
      <c r="P80" s="344"/>
      <c r="Q80" s="318"/>
      <c r="R80" s="346"/>
      <c r="S80" s="318"/>
      <c r="T80" s="319">
        <f t="shared" si="5"/>
        <v>700</v>
      </c>
      <c r="U80" s="265"/>
      <c r="V80" s="64"/>
      <c r="AA80" s="63"/>
      <c r="AE80" s="25"/>
      <c r="AF80" s="293"/>
    </row>
    <row r="81" ht="33.75" customHeight="1">
      <c r="A81" s="264"/>
      <c r="B81" s="308"/>
      <c r="C81" s="330">
        <v>4.0</v>
      </c>
      <c r="D81" s="331" t="s">
        <v>238</v>
      </c>
      <c r="E81" s="332">
        <v>14.0</v>
      </c>
      <c r="F81" s="333">
        <v>15.0</v>
      </c>
      <c r="G81" s="332"/>
      <c r="H81" s="334">
        <v>12.0</v>
      </c>
      <c r="I81" s="333">
        <v>15.0</v>
      </c>
      <c r="J81" s="339"/>
      <c r="K81" s="397"/>
      <c r="L81" s="333"/>
      <c r="M81" s="336"/>
      <c r="N81" s="337"/>
      <c r="O81" s="338"/>
      <c r="P81" s="339"/>
      <c r="Q81" s="336"/>
      <c r="R81" s="338"/>
      <c r="S81" s="336"/>
      <c r="T81" s="393">
        <f t="shared" si="5"/>
        <v>390</v>
      </c>
      <c r="U81" s="265"/>
      <c r="V81" s="275"/>
      <c r="W81" s="276"/>
      <c r="X81" s="276"/>
      <c r="Y81" s="276"/>
      <c r="Z81" s="276"/>
      <c r="AA81" s="291"/>
      <c r="AB81" s="22"/>
      <c r="AC81" s="22"/>
      <c r="AD81" s="22"/>
      <c r="AE81" s="28"/>
      <c r="AF81" s="293"/>
    </row>
    <row r="82" ht="33.75" customHeight="1">
      <c r="A82" s="264"/>
      <c r="B82" s="308"/>
      <c r="C82" s="309">
        <v>5.0</v>
      </c>
      <c r="D82" s="341" t="s">
        <v>239</v>
      </c>
      <c r="E82" s="311">
        <v>12.0</v>
      </c>
      <c r="F82" s="342">
        <v>20.0</v>
      </c>
      <c r="G82" s="311"/>
      <c r="H82" s="343">
        <v>10.0</v>
      </c>
      <c r="I82" s="342">
        <v>20.0</v>
      </c>
      <c r="J82" s="344"/>
      <c r="K82" s="311"/>
      <c r="L82" s="342"/>
      <c r="M82" s="318"/>
      <c r="N82" s="345"/>
      <c r="O82" s="346"/>
      <c r="P82" s="344"/>
      <c r="Q82" s="318"/>
      <c r="R82" s="346"/>
      <c r="S82" s="318"/>
      <c r="T82" s="319">
        <f t="shared" si="5"/>
        <v>440</v>
      </c>
      <c r="U82" s="265"/>
      <c r="V82" s="347">
        <v>1.0</v>
      </c>
      <c r="W82" s="348">
        <v>2.0</v>
      </c>
      <c r="X82" s="349">
        <v>3.0</v>
      </c>
      <c r="Y82" s="350">
        <v>4.0</v>
      </c>
      <c r="Z82" s="351">
        <v>5.0</v>
      </c>
      <c r="AA82" s="352">
        <v>6.0</v>
      </c>
      <c r="AB82" s="353">
        <v>7.0</v>
      </c>
      <c r="AC82" s="354">
        <v>8.0</v>
      </c>
      <c r="AD82" s="355">
        <v>9.0</v>
      </c>
      <c r="AE82" s="356">
        <v>10.0</v>
      </c>
      <c r="AF82" s="293"/>
    </row>
    <row r="83" ht="33.75" customHeight="1">
      <c r="A83" s="264"/>
      <c r="B83" s="308"/>
      <c r="C83" s="330">
        <v>6.0</v>
      </c>
      <c r="D83" s="331" t="s">
        <v>240</v>
      </c>
      <c r="E83" s="332">
        <v>14.0</v>
      </c>
      <c r="F83" s="333">
        <v>7.5</v>
      </c>
      <c r="G83" s="336"/>
      <c r="H83" s="334">
        <v>14.0</v>
      </c>
      <c r="I83" s="333">
        <v>5.0</v>
      </c>
      <c r="J83" s="339"/>
      <c r="K83" s="332"/>
      <c r="L83" s="333"/>
      <c r="M83" s="336"/>
      <c r="N83" s="337"/>
      <c r="O83" s="338"/>
      <c r="P83" s="339"/>
      <c r="Q83" s="336"/>
      <c r="R83" s="338"/>
      <c r="S83" s="336"/>
      <c r="T83" s="319">
        <f t="shared" si="5"/>
        <v>175</v>
      </c>
      <c r="U83" s="265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</row>
    <row r="84" ht="33.75" customHeight="1">
      <c r="A84" s="264"/>
      <c r="B84" s="308"/>
      <c r="C84" s="309">
        <v>7.0</v>
      </c>
      <c r="D84" s="341" t="s">
        <v>254</v>
      </c>
      <c r="E84" s="311">
        <v>16.0</v>
      </c>
      <c r="F84" s="342">
        <v>5.0</v>
      </c>
      <c r="G84" s="318"/>
      <c r="H84" s="343">
        <v>12.0</v>
      </c>
      <c r="I84" s="342">
        <v>5.0</v>
      </c>
      <c r="J84" s="344"/>
      <c r="K84" s="311"/>
      <c r="L84" s="342"/>
      <c r="M84" s="318"/>
      <c r="N84" s="345"/>
      <c r="O84" s="346"/>
      <c r="P84" s="344"/>
      <c r="Q84" s="318"/>
      <c r="R84" s="346"/>
      <c r="S84" s="318"/>
      <c r="T84" s="319">
        <f t="shared" si="5"/>
        <v>140</v>
      </c>
      <c r="U84" s="265"/>
      <c r="V84" s="357" t="s">
        <v>231</v>
      </c>
      <c r="W84" s="268"/>
      <c r="X84" s="268"/>
      <c r="Y84" s="268"/>
      <c r="Z84" s="268"/>
      <c r="AA84" s="268"/>
      <c r="AB84" s="268"/>
      <c r="AC84" s="268"/>
      <c r="AD84" s="268"/>
      <c r="AE84" s="57"/>
      <c r="AF84" s="293"/>
    </row>
    <row r="85" ht="33.75" customHeight="1">
      <c r="A85" s="264"/>
      <c r="B85" s="308"/>
      <c r="C85" s="330">
        <v>8.0</v>
      </c>
      <c r="D85" s="358"/>
      <c r="E85" s="336"/>
      <c r="F85" s="338"/>
      <c r="G85" s="336"/>
      <c r="H85" s="337"/>
      <c r="I85" s="338"/>
      <c r="J85" s="339"/>
      <c r="K85" s="336"/>
      <c r="L85" s="338"/>
      <c r="M85" s="336"/>
      <c r="N85" s="337"/>
      <c r="O85" s="338"/>
      <c r="P85" s="339"/>
      <c r="Q85" s="336"/>
      <c r="R85" s="338"/>
      <c r="S85" s="336"/>
      <c r="T85" s="319">
        <f t="shared" si="5"/>
        <v>0</v>
      </c>
      <c r="U85" s="265"/>
      <c r="V85" s="370"/>
      <c r="W85" s="273"/>
      <c r="X85" s="273"/>
      <c r="Y85" s="273"/>
      <c r="Z85" s="273"/>
      <c r="AA85" s="273"/>
      <c r="AB85" s="273"/>
      <c r="AC85" s="273"/>
      <c r="AD85" s="273"/>
      <c r="AE85" s="270"/>
      <c r="AF85" s="293"/>
    </row>
    <row r="86" ht="33.75" customHeight="1">
      <c r="A86" s="264"/>
      <c r="B86" s="308"/>
      <c r="C86" s="309">
        <v>9.0</v>
      </c>
      <c r="D86" s="360"/>
      <c r="E86" s="318"/>
      <c r="F86" s="346"/>
      <c r="G86" s="318"/>
      <c r="H86" s="345"/>
      <c r="I86" s="346"/>
      <c r="J86" s="344"/>
      <c r="K86" s="318"/>
      <c r="L86" s="346"/>
      <c r="M86" s="318"/>
      <c r="N86" s="345"/>
      <c r="O86" s="346"/>
      <c r="P86" s="344"/>
      <c r="Q86" s="318"/>
      <c r="R86" s="346"/>
      <c r="S86" s="318"/>
      <c r="T86" s="319">
        <f t="shared" si="5"/>
        <v>0</v>
      </c>
      <c r="U86" s="265"/>
      <c r="V86" s="90"/>
      <c r="AE86" s="25"/>
      <c r="AF86" s="293"/>
    </row>
    <row r="87" ht="33.75" customHeight="1">
      <c r="A87" s="264"/>
      <c r="B87" s="308"/>
      <c r="C87" s="330">
        <v>10.0</v>
      </c>
      <c r="D87" s="358"/>
      <c r="E87" s="336"/>
      <c r="F87" s="338"/>
      <c r="G87" s="336"/>
      <c r="H87" s="337"/>
      <c r="I87" s="338"/>
      <c r="J87" s="339"/>
      <c r="K87" s="336"/>
      <c r="L87" s="338"/>
      <c r="M87" s="336"/>
      <c r="N87" s="337"/>
      <c r="O87" s="338"/>
      <c r="P87" s="339"/>
      <c r="Q87" s="336"/>
      <c r="R87" s="338"/>
      <c r="S87" s="336"/>
      <c r="T87" s="319">
        <f t="shared" si="5"/>
        <v>0</v>
      </c>
      <c r="U87" s="265"/>
      <c r="V87" s="90"/>
      <c r="AE87" s="25"/>
      <c r="AF87" s="293"/>
    </row>
    <row r="88" ht="33.75" customHeight="1">
      <c r="A88" s="264"/>
      <c r="B88" s="361"/>
      <c r="C88" s="362">
        <v>11.0</v>
      </c>
      <c r="D88" s="363"/>
      <c r="E88" s="364"/>
      <c r="F88" s="365"/>
      <c r="G88" s="364"/>
      <c r="H88" s="366"/>
      <c r="I88" s="365"/>
      <c r="J88" s="367"/>
      <c r="K88" s="364"/>
      <c r="L88" s="365"/>
      <c r="M88" s="364"/>
      <c r="N88" s="366"/>
      <c r="O88" s="365"/>
      <c r="P88" s="367"/>
      <c r="Q88" s="364"/>
      <c r="R88" s="365"/>
      <c r="S88" s="364"/>
      <c r="T88" s="319">
        <f t="shared" si="5"/>
        <v>0</v>
      </c>
      <c r="U88" s="265"/>
      <c r="V88" s="27"/>
      <c r="W88" s="22"/>
      <c r="X88" s="22"/>
      <c r="Y88" s="22"/>
      <c r="Z88" s="22"/>
      <c r="AA88" s="22"/>
      <c r="AB88" s="22"/>
      <c r="AC88" s="22"/>
      <c r="AD88" s="22"/>
      <c r="AE88" s="28"/>
      <c r="AF88" s="293"/>
    </row>
    <row r="89">
      <c r="A89" s="264"/>
      <c r="B89" s="368"/>
      <c r="C89" s="265"/>
      <c r="D89" s="265"/>
      <c r="E89" s="265"/>
      <c r="F89" s="265"/>
      <c r="G89" s="265"/>
      <c r="H89" s="265"/>
      <c r="I89" s="265"/>
      <c r="J89" s="29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</row>
    <row r="90">
      <c r="A90" s="264"/>
      <c r="B90" s="265"/>
      <c r="C90" s="294" t="s">
        <v>209</v>
      </c>
      <c r="D90" s="295"/>
      <c r="E90" s="296" t="s">
        <v>210</v>
      </c>
      <c r="F90" s="297"/>
      <c r="G90" s="297"/>
      <c r="H90" s="297"/>
      <c r="I90" s="297"/>
      <c r="J90" s="297"/>
      <c r="K90" s="297"/>
      <c r="L90" s="297"/>
      <c r="M90" s="282"/>
      <c r="N90" s="298" t="s">
        <v>211</v>
      </c>
      <c r="O90" s="268"/>
      <c r="P90" s="57"/>
      <c r="Q90" s="286" t="s">
        <v>212</v>
      </c>
      <c r="R90" s="268"/>
      <c r="S90" s="57"/>
      <c r="T90" s="292"/>
      <c r="U90" s="265"/>
      <c r="V90" s="299" t="s">
        <v>213</v>
      </c>
      <c r="W90" s="268"/>
      <c r="X90" s="268"/>
      <c r="Y90" s="268"/>
      <c r="Z90" s="268"/>
      <c r="AA90" s="57"/>
      <c r="AB90" s="300">
        <v>10.0</v>
      </c>
      <c r="AC90" s="273"/>
      <c r="AD90" s="273"/>
      <c r="AE90" s="270"/>
      <c r="AF90" s="293"/>
    </row>
    <row r="91">
      <c r="A91" s="264"/>
      <c r="B91" s="265"/>
      <c r="C91" s="301" t="s">
        <v>214</v>
      </c>
      <c r="D91" s="372">
        <v>45854.0</v>
      </c>
      <c r="E91" s="303" t="s">
        <v>215</v>
      </c>
      <c r="F91" s="22"/>
      <c r="G91" s="28"/>
      <c r="H91" s="304" t="s">
        <v>216</v>
      </c>
      <c r="I91" s="297"/>
      <c r="J91" s="282"/>
      <c r="K91" s="304" t="s">
        <v>217</v>
      </c>
      <c r="L91" s="297"/>
      <c r="M91" s="282"/>
      <c r="N91" s="304" t="s">
        <v>218</v>
      </c>
      <c r="O91" s="297"/>
      <c r="P91" s="282"/>
      <c r="Q91" s="304" t="s">
        <v>219</v>
      </c>
      <c r="R91" s="297"/>
      <c r="S91" s="282"/>
      <c r="T91" s="265"/>
      <c r="U91" s="265"/>
      <c r="V91" s="64"/>
      <c r="AA91" s="63"/>
      <c r="AE91" s="25"/>
      <c r="AF91" s="293"/>
    </row>
    <row r="92">
      <c r="A92" s="264"/>
      <c r="B92" s="305" t="s">
        <v>249</v>
      </c>
      <c r="C92" s="306" t="s">
        <v>221</v>
      </c>
      <c r="D92" s="306" t="s">
        <v>222</v>
      </c>
      <c r="E92" s="301" t="s">
        <v>223</v>
      </c>
      <c r="F92" s="301" t="s">
        <v>224</v>
      </c>
      <c r="G92" s="301" t="s">
        <v>66</v>
      </c>
      <c r="H92" s="301" t="s">
        <v>223</v>
      </c>
      <c r="I92" s="301" t="s">
        <v>224</v>
      </c>
      <c r="J92" s="301" t="s">
        <v>66</v>
      </c>
      <c r="K92" s="301" t="s">
        <v>223</v>
      </c>
      <c r="L92" s="301" t="s">
        <v>224</v>
      </c>
      <c r="M92" s="301" t="s">
        <v>66</v>
      </c>
      <c r="N92" s="301" t="s">
        <v>223</v>
      </c>
      <c r="O92" s="301" t="s">
        <v>224</v>
      </c>
      <c r="P92" s="301" t="s">
        <v>66</v>
      </c>
      <c r="Q92" s="301" t="s">
        <v>223</v>
      </c>
      <c r="R92" s="301" t="s">
        <v>224</v>
      </c>
      <c r="S92" s="301" t="s">
        <v>66</v>
      </c>
      <c r="T92" s="307" t="s">
        <v>225</v>
      </c>
      <c r="U92" s="265"/>
      <c r="V92" s="275"/>
      <c r="W92" s="276"/>
      <c r="X92" s="276"/>
      <c r="Y92" s="276"/>
      <c r="Z92" s="276"/>
      <c r="AA92" s="291"/>
      <c r="AB92" s="22"/>
      <c r="AC92" s="22"/>
      <c r="AD92" s="22"/>
      <c r="AE92" s="28"/>
      <c r="AF92" s="293"/>
    </row>
    <row r="93" ht="33.75" customHeight="1">
      <c r="A93" s="264"/>
      <c r="B93" s="308"/>
      <c r="C93" s="309">
        <v>1.0</v>
      </c>
      <c r="D93" s="398" t="s">
        <v>167</v>
      </c>
      <c r="E93" s="311">
        <v>12.0</v>
      </c>
      <c r="F93" s="312">
        <v>45.0</v>
      </c>
      <c r="G93" s="318"/>
      <c r="H93" s="313">
        <v>11.0</v>
      </c>
      <c r="I93" s="312">
        <v>45.0</v>
      </c>
      <c r="J93" s="317"/>
      <c r="K93" s="311"/>
      <c r="L93" s="312"/>
      <c r="M93" s="318"/>
      <c r="N93" s="315"/>
      <c r="O93" s="316"/>
      <c r="P93" s="317"/>
      <c r="Q93" s="318"/>
      <c r="R93" s="316"/>
      <c r="S93" s="318"/>
      <c r="T93" s="319">
        <f t="shared" ref="T93:T103" si="6">(E93*F93)+(H93*I93)+(K93*L93)+(N93*O93)+(Q93*R93)</f>
        <v>1035</v>
      </c>
      <c r="U93" s="265"/>
      <c r="V93" s="320">
        <v>1.0</v>
      </c>
      <c r="W93" s="321">
        <v>2.0</v>
      </c>
      <c r="X93" s="322">
        <v>3.0</v>
      </c>
      <c r="Y93" s="323">
        <v>4.0</v>
      </c>
      <c r="Z93" s="324">
        <v>5.0</v>
      </c>
      <c r="AA93" s="325">
        <v>6.0</v>
      </c>
      <c r="AB93" s="326">
        <v>7.0</v>
      </c>
      <c r="AC93" s="327">
        <v>8.0</v>
      </c>
      <c r="AD93" s="328">
        <v>9.0</v>
      </c>
      <c r="AE93" s="329">
        <v>10.0</v>
      </c>
      <c r="AF93" s="293"/>
    </row>
    <row r="94" ht="33.75" customHeight="1">
      <c r="A94" s="264"/>
      <c r="B94" s="308"/>
      <c r="C94" s="330">
        <v>2.0</v>
      </c>
      <c r="D94" s="399" t="s">
        <v>169</v>
      </c>
      <c r="E94" s="332">
        <v>10.0</v>
      </c>
      <c r="F94" s="333">
        <v>10.0</v>
      </c>
      <c r="G94" s="336"/>
      <c r="H94" s="334">
        <v>9.0</v>
      </c>
      <c r="I94" s="333">
        <v>10.0</v>
      </c>
      <c r="J94" s="339"/>
      <c r="K94" s="332"/>
      <c r="L94" s="333"/>
      <c r="M94" s="336"/>
      <c r="N94" s="337"/>
      <c r="O94" s="338"/>
      <c r="P94" s="339"/>
      <c r="Q94" s="336"/>
      <c r="R94" s="338"/>
      <c r="S94" s="336"/>
      <c r="T94" s="319">
        <f t="shared" si="6"/>
        <v>190</v>
      </c>
      <c r="U94" s="265"/>
      <c r="V94" s="340" t="s">
        <v>227</v>
      </c>
      <c r="W94" s="268"/>
      <c r="X94" s="268"/>
      <c r="Y94" s="268"/>
      <c r="Z94" s="268"/>
      <c r="AA94" s="57"/>
      <c r="AB94" s="300">
        <v>8.0</v>
      </c>
      <c r="AC94" s="273"/>
      <c r="AD94" s="273"/>
      <c r="AE94" s="270"/>
      <c r="AF94" s="293"/>
    </row>
    <row r="95" ht="33.75" customHeight="1">
      <c r="A95" s="264"/>
      <c r="B95" s="308"/>
      <c r="C95" s="309">
        <v>3.0</v>
      </c>
      <c r="D95" s="400" t="s">
        <v>170</v>
      </c>
      <c r="E95" s="311">
        <v>8.0</v>
      </c>
      <c r="F95" s="342">
        <v>80.0</v>
      </c>
      <c r="G95" s="318"/>
      <c r="H95" s="343">
        <v>8.0</v>
      </c>
      <c r="I95" s="342">
        <v>80.0</v>
      </c>
      <c r="J95" s="344"/>
      <c r="K95" s="311"/>
      <c r="L95" s="342"/>
      <c r="M95" s="318"/>
      <c r="N95" s="345"/>
      <c r="O95" s="346"/>
      <c r="P95" s="344"/>
      <c r="Q95" s="318"/>
      <c r="R95" s="346"/>
      <c r="S95" s="318"/>
      <c r="T95" s="319">
        <f t="shared" si="6"/>
        <v>1280</v>
      </c>
      <c r="U95" s="265"/>
      <c r="V95" s="64"/>
      <c r="AA95" s="63"/>
      <c r="AE95" s="25"/>
      <c r="AF95" s="293"/>
    </row>
    <row r="96" ht="33.75" customHeight="1">
      <c r="A96" s="264"/>
      <c r="B96" s="308"/>
      <c r="C96" s="330">
        <v>4.0</v>
      </c>
      <c r="D96" s="401" t="s">
        <v>171</v>
      </c>
      <c r="E96" s="332">
        <v>12.0</v>
      </c>
      <c r="F96" s="333">
        <v>120.0</v>
      </c>
      <c r="G96" s="336"/>
      <c r="H96" s="334">
        <v>10.0</v>
      </c>
      <c r="I96" s="333">
        <v>120.0</v>
      </c>
      <c r="J96" s="339"/>
      <c r="K96" s="332"/>
      <c r="L96" s="333"/>
      <c r="M96" s="336"/>
      <c r="N96" s="334"/>
      <c r="O96" s="333"/>
      <c r="P96" s="339"/>
      <c r="Q96" s="336"/>
      <c r="R96" s="338"/>
      <c r="S96" s="336"/>
      <c r="T96" s="319">
        <f t="shared" si="6"/>
        <v>2640</v>
      </c>
      <c r="U96" s="265"/>
      <c r="V96" s="275"/>
      <c r="W96" s="276"/>
      <c r="X96" s="276"/>
      <c r="Y96" s="276"/>
      <c r="Z96" s="276"/>
      <c r="AA96" s="291"/>
      <c r="AB96" s="22"/>
      <c r="AC96" s="22"/>
      <c r="AD96" s="22"/>
      <c r="AE96" s="28"/>
      <c r="AF96" s="293"/>
    </row>
    <row r="97" ht="33.75" customHeight="1">
      <c r="A97" s="264"/>
      <c r="B97" s="308"/>
      <c r="C97" s="309">
        <v>5.0</v>
      </c>
      <c r="D97" s="400" t="s">
        <v>172</v>
      </c>
      <c r="E97" s="311">
        <v>12.0</v>
      </c>
      <c r="F97" s="342">
        <v>20.0</v>
      </c>
      <c r="G97" s="318"/>
      <c r="H97" s="343">
        <v>10.0</v>
      </c>
      <c r="I97" s="342">
        <v>30.0</v>
      </c>
      <c r="J97" s="344"/>
      <c r="K97" s="311"/>
      <c r="L97" s="342"/>
      <c r="M97" s="318"/>
      <c r="N97" s="345"/>
      <c r="O97" s="346"/>
      <c r="P97" s="344"/>
      <c r="Q97" s="318"/>
      <c r="R97" s="346"/>
      <c r="S97" s="318"/>
      <c r="T97" s="319">
        <f t="shared" si="6"/>
        <v>540</v>
      </c>
      <c r="U97" s="265"/>
      <c r="V97" s="347">
        <v>1.0</v>
      </c>
      <c r="W97" s="348">
        <v>2.0</v>
      </c>
      <c r="X97" s="349">
        <v>3.0</v>
      </c>
      <c r="Y97" s="350">
        <v>4.0</v>
      </c>
      <c r="Z97" s="351">
        <v>5.0</v>
      </c>
      <c r="AA97" s="352">
        <v>6.0</v>
      </c>
      <c r="AB97" s="353">
        <v>7.0</v>
      </c>
      <c r="AC97" s="354">
        <v>8.0</v>
      </c>
      <c r="AD97" s="355">
        <v>9.0</v>
      </c>
      <c r="AE97" s="356">
        <v>10.0</v>
      </c>
      <c r="AF97" s="293"/>
    </row>
    <row r="98" ht="33.75" customHeight="1">
      <c r="A98" s="264"/>
      <c r="B98" s="308"/>
      <c r="C98" s="330">
        <v>6.0</v>
      </c>
      <c r="D98" s="399" t="s">
        <v>174</v>
      </c>
      <c r="E98" s="332">
        <v>12.0</v>
      </c>
      <c r="F98" s="333">
        <v>20.0</v>
      </c>
      <c r="G98" s="336"/>
      <c r="H98" s="334">
        <v>10.0</v>
      </c>
      <c r="I98" s="333">
        <v>20.0</v>
      </c>
      <c r="J98" s="339"/>
      <c r="K98" s="336"/>
      <c r="L98" s="338"/>
      <c r="M98" s="336"/>
      <c r="N98" s="337"/>
      <c r="O98" s="338"/>
      <c r="P98" s="339"/>
      <c r="Q98" s="336"/>
      <c r="R98" s="338"/>
      <c r="S98" s="336"/>
      <c r="T98" s="319">
        <f t="shared" si="6"/>
        <v>440</v>
      </c>
      <c r="U98" s="265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</row>
    <row r="99" ht="33.75" customHeight="1">
      <c r="A99" s="264"/>
      <c r="B99" s="308"/>
      <c r="C99" s="309">
        <v>7.0</v>
      </c>
      <c r="D99" s="404"/>
      <c r="E99" s="374"/>
      <c r="F99" s="383"/>
      <c r="G99" s="384"/>
      <c r="H99" s="385"/>
      <c r="I99" s="383"/>
      <c r="J99" s="344"/>
      <c r="K99" s="318"/>
      <c r="L99" s="346"/>
      <c r="M99" s="318"/>
      <c r="N99" s="345"/>
      <c r="O99" s="346"/>
      <c r="P99" s="344"/>
      <c r="Q99" s="318"/>
      <c r="R99" s="346"/>
      <c r="S99" s="318"/>
      <c r="T99" s="319">
        <f t="shared" si="6"/>
        <v>0</v>
      </c>
      <c r="U99" s="265"/>
      <c r="V99" s="357" t="s">
        <v>231</v>
      </c>
      <c r="W99" s="268"/>
      <c r="X99" s="268"/>
      <c r="Y99" s="268"/>
      <c r="Z99" s="268"/>
      <c r="AA99" s="268"/>
      <c r="AB99" s="268"/>
      <c r="AC99" s="268"/>
      <c r="AD99" s="268"/>
      <c r="AE99" s="57"/>
      <c r="AF99" s="293"/>
    </row>
    <row r="100" ht="33.75" customHeight="1">
      <c r="A100" s="264"/>
      <c r="B100" s="308"/>
      <c r="C100" s="330">
        <v>8.0</v>
      </c>
      <c r="D100" s="358"/>
      <c r="E100" s="336"/>
      <c r="F100" s="338"/>
      <c r="G100" s="336"/>
      <c r="H100" s="337"/>
      <c r="I100" s="338"/>
      <c r="J100" s="339"/>
      <c r="K100" s="336"/>
      <c r="L100" s="338"/>
      <c r="M100" s="336"/>
      <c r="N100" s="337"/>
      <c r="O100" s="338"/>
      <c r="P100" s="339"/>
      <c r="Q100" s="336"/>
      <c r="R100" s="338"/>
      <c r="S100" s="336"/>
      <c r="T100" s="319">
        <f t="shared" si="6"/>
        <v>0</v>
      </c>
      <c r="U100" s="265"/>
      <c r="V100" s="370"/>
      <c r="W100" s="273"/>
      <c r="X100" s="273"/>
      <c r="Y100" s="273"/>
      <c r="Z100" s="273"/>
      <c r="AA100" s="273"/>
      <c r="AB100" s="273"/>
      <c r="AC100" s="273"/>
      <c r="AD100" s="273"/>
      <c r="AE100" s="270"/>
      <c r="AF100" s="293"/>
    </row>
    <row r="101" ht="33.75" customHeight="1">
      <c r="A101" s="264"/>
      <c r="B101" s="308"/>
      <c r="C101" s="309">
        <v>9.0</v>
      </c>
      <c r="D101" s="360"/>
      <c r="E101" s="318"/>
      <c r="F101" s="346"/>
      <c r="G101" s="318"/>
      <c r="H101" s="345"/>
      <c r="I101" s="346"/>
      <c r="J101" s="344"/>
      <c r="K101" s="318"/>
      <c r="L101" s="346"/>
      <c r="M101" s="318"/>
      <c r="N101" s="345"/>
      <c r="O101" s="346"/>
      <c r="P101" s="344"/>
      <c r="Q101" s="318"/>
      <c r="R101" s="346"/>
      <c r="S101" s="318"/>
      <c r="T101" s="319">
        <f t="shared" si="6"/>
        <v>0</v>
      </c>
      <c r="U101" s="265"/>
      <c r="V101" s="90"/>
      <c r="AE101" s="25"/>
      <c r="AF101" s="293"/>
    </row>
    <row r="102" ht="33.75" customHeight="1">
      <c r="A102" s="264"/>
      <c r="B102" s="308"/>
      <c r="C102" s="330">
        <v>10.0</v>
      </c>
      <c r="D102" s="358"/>
      <c r="E102" s="336"/>
      <c r="F102" s="338"/>
      <c r="G102" s="336"/>
      <c r="H102" s="337"/>
      <c r="I102" s="338"/>
      <c r="J102" s="339"/>
      <c r="K102" s="336"/>
      <c r="L102" s="338"/>
      <c r="M102" s="336"/>
      <c r="N102" s="337"/>
      <c r="O102" s="338"/>
      <c r="P102" s="339"/>
      <c r="Q102" s="336"/>
      <c r="R102" s="338"/>
      <c r="S102" s="336"/>
      <c r="T102" s="319">
        <f t="shared" si="6"/>
        <v>0</v>
      </c>
      <c r="U102" s="265"/>
      <c r="V102" s="90"/>
      <c r="AE102" s="25"/>
      <c r="AF102" s="293"/>
    </row>
    <row r="103" ht="33.75" customHeight="1">
      <c r="A103" s="264"/>
      <c r="B103" s="361"/>
      <c r="C103" s="362">
        <v>11.0</v>
      </c>
      <c r="D103" s="363"/>
      <c r="E103" s="364"/>
      <c r="F103" s="365"/>
      <c r="G103" s="364"/>
      <c r="H103" s="366"/>
      <c r="I103" s="365"/>
      <c r="J103" s="367"/>
      <c r="K103" s="364"/>
      <c r="L103" s="365"/>
      <c r="M103" s="364"/>
      <c r="N103" s="366"/>
      <c r="O103" s="365"/>
      <c r="P103" s="367"/>
      <c r="Q103" s="364"/>
      <c r="R103" s="365"/>
      <c r="S103" s="364"/>
      <c r="T103" s="319">
        <f t="shared" si="6"/>
        <v>0</v>
      </c>
      <c r="U103" s="265"/>
      <c r="V103" s="27"/>
      <c r="W103" s="22"/>
      <c r="X103" s="22"/>
      <c r="Y103" s="22"/>
      <c r="Z103" s="22"/>
      <c r="AA103" s="22"/>
      <c r="AB103" s="22"/>
      <c r="AC103" s="22"/>
      <c r="AD103" s="22"/>
      <c r="AE103" s="28"/>
      <c r="AF103" s="265"/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9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</row>
    <row r="105">
      <c r="A105" s="265"/>
      <c r="B105" s="265"/>
      <c r="C105" s="294" t="s">
        <v>209</v>
      </c>
      <c r="D105" s="295"/>
      <c r="E105" s="296" t="s">
        <v>241</v>
      </c>
      <c r="F105" s="297"/>
      <c r="G105" s="297"/>
      <c r="H105" s="297"/>
      <c r="I105" s="297"/>
      <c r="J105" s="297"/>
      <c r="K105" s="297"/>
      <c r="L105" s="297"/>
      <c r="M105" s="282"/>
      <c r="N105" s="298" t="s">
        <v>211</v>
      </c>
      <c r="O105" s="268"/>
      <c r="P105" s="57"/>
      <c r="Q105" s="286"/>
      <c r="R105" s="268"/>
      <c r="S105" s="57"/>
      <c r="T105" s="292"/>
      <c r="U105" s="265"/>
      <c r="V105" s="299" t="s">
        <v>213</v>
      </c>
      <c r="W105" s="268"/>
      <c r="X105" s="268"/>
      <c r="Y105" s="268"/>
      <c r="Z105" s="268"/>
      <c r="AA105" s="57"/>
      <c r="AB105" s="300">
        <v>7.0</v>
      </c>
      <c r="AC105" s="273"/>
      <c r="AD105" s="273"/>
      <c r="AE105" s="270"/>
      <c r="AF105" s="265"/>
    </row>
    <row r="106">
      <c r="A106" s="402"/>
      <c r="B106" s="265"/>
      <c r="C106" s="301" t="s">
        <v>214</v>
      </c>
      <c r="D106" s="405">
        <v>45855.0</v>
      </c>
      <c r="E106" s="303" t="s">
        <v>215</v>
      </c>
      <c r="F106" s="22"/>
      <c r="G106" s="28"/>
      <c r="H106" s="304" t="s">
        <v>216</v>
      </c>
      <c r="I106" s="297"/>
      <c r="J106" s="282"/>
      <c r="K106" s="304" t="s">
        <v>217</v>
      </c>
      <c r="L106" s="297"/>
      <c r="M106" s="282"/>
      <c r="N106" s="304" t="s">
        <v>218</v>
      </c>
      <c r="O106" s="297"/>
      <c r="P106" s="282"/>
      <c r="Q106" s="304" t="s">
        <v>219</v>
      </c>
      <c r="R106" s="297"/>
      <c r="S106" s="282"/>
      <c r="T106" s="265"/>
      <c r="U106" s="265"/>
      <c r="V106" s="64"/>
      <c r="AA106" s="63"/>
      <c r="AE106" s="25"/>
      <c r="AF106" s="402"/>
    </row>
    <row r="107">
      <c r="A107" s="402"/>
      <c r="B107" s="305" t="s">
        <v>251</v>
      </c>
      <c r="C107" s="306" t="s">
        <v>221</v>
      </c>
      <c r="D107" s="306" t="s">
        <v>222</v>
      </c>
      <c r="E107" s="301" t="s">
        <v>223</v>
      </c>
      <c r="F107" s="301" t="s">
        <v>224</v>
      </c>
      <c r="G107" s="301" t="s">
        <v>66</v>
      </c>
      <c r="H107" s="301" t="s">
        <v>223</v>
      </c>
      <c r="I107" s="301" t="s">
        <v>224</v>
      </c>
      <c r="J107" s="301" t="s">
        <v>66</v>
      </c>
      <c r="K107" s="301" t="s">
        <v>223</v>
      </c>
      <c r="L107" s="301" t="s">
        <v>224</v>
      </c>
      <c r="M107" s="301" t="s">
        <v>66</v>
      </c>
      <c r="N107" s="301" t="s">
        <v>223</v>
      </c>
      <c r="O107" s="301" t="s">
        <v>224</v>
      </c>
      <c r="P107" s="301" t="s">
        <v>66</v>
      </c>
      <c r="Q107" s="301" t="s">
        <v>223</v>
      </c>
      <c r="R107" s="301" t="s">
        <v>224</v>
      </c>
      <c r="S107" s="301" t="s">
        <v>66</v>
      </c>
      <c r="T107" s="307" t="s">
        <v>225</v>
      </c>
      <c r="U107" s="265"/>
      <c r="V107" s="275"/>
      <c r="W107" s="276"/>
      <c r="X107" s="276"/>
      <c r="Y107" s="276"/>
      <c r="Z107" s="276"/>
      <c r="AA107" s="291"/>
      <c r="AB107" s="22"/>
      <c r="AC107" s="22"/>
      <c r="AD107" s="22"/>
      <c r="AE107" s="28"/>
      <c r="AF107" s="402"/>
    </row>
    <row r="108" ht="33.75" customHeight="1">
      <c r="A108" s="264"/>
      <c r="B108" s="308"/>
      <c r="C108" s="309">
        <v>1.0</v>
      </c>
      <c r="D108" s="373" t="s">
        <v>154</v>
      </c>
      <c r="E108" s="374">
        <v>8.0</v>
      </c>
      <c r="F108" s="375">
        <v>10.0</v>
      </c>
      <c r="G108" s="374"/>
      <c r="H108" s="376">
        <v>10.0</v>
      </c>
      <c r="I108" s="375">
        <v>7.5</v>
      </c>
      <c r="J108" s="317"/>
      <c r="K108" s="318"/>
      <c r="L108" s="316"/>
      <c r="M108" s="318"/>
      <c r="N108" s="315"/>
      <c r="O108" s="316"/>
      <c r="P108" s="317"/>
      <c r="Q108" s="318"/>
      <c r="R108" s="316"/>
      <c r="S108" s="318"/>
      <c r="T108" s="319">
        <f t="shared" ref="T108:T118" si="7">(E108*F108)+(H108*I108)+(K108*L108)+(N108*O108)+(Q108*R108)</f>
        <v>155</v>
      </c>
      <c r="U108" s="265"/>
      <c r="V108" s="320">
        <v>1.0</v>
      </c>
      <c r="W108" s="321">
        <v>2.0</v>
      </c>
      <c r="X108" s="322">
        <v>3.0</v>
      </c>
      <c r="Y108" s="323">
        <v>4.0</v>
      </c>
      <c r="Z108" s="324">
        <v>5.0</v>
      </c>
      <c r="AA108" s="325">
        <v>6.0</v>
      </c>
      <c r="AB108" s="326">
        <v>7.0</v>
      </c>
      <c r="AC108" s="327">
        <v>8.0</v>
      </c>
      <c r="AD108" s="328">
        <v>9.0</v>
      </c>
      <c r="AE108" s="329">
        <v>10.0</v>
      </c>
      <c r="AF108" s="37"/>
    </row>
    <row r="109" ht="33.75" customHeight="1">
      <c r="A109" s="264"/>
      <c r="B109" s="308"/>
      <c r="C109" s="330">
        <v>2.0</v>
      </c>
      <c r="D109" s="377" t="s">
        <v>155</v>
      </c>
      <c r="E109" s="378">
        <v>10.0</v>
      </c>
      <c r="F109" s="379">
        <v>25.0</v>
      </c>
      <c r="G109" s="380"/>
      <c r="H109" s="381">
        <v>10.0</v>
      </c>
      <c r="I109" s="379">
        <v>25.0</v>
      </c>
      <c r="J109" s="339"/>
      <c r="K109" s="336"/>
      <c r="L109" s="338"/>
      <c r="M109" s="336"/>
      <c r="N109" s="337"/>
      <c r="O109" s="338"/>
      <c r="P109" s="339"/>
      <c r="Q109" s="336"/>
      <c r="R109" s="338"/>
      <c r="S109" s="336"/>
      <c r="T109" s="319">
        <f t="shared" si="7"/>
        <v>500</v>
      </c>
      <c r="U109" s="265"/>
      <c r="V109" s="340" t="s">
        <v>227</v>
      </c>
      <c r="W109" s="268"/>
      <c r="X109" s="268"/>
      <c r="Y109" s="268"/>
      <c r="Z109" s="268"/>
      <c r="AA109" s="57"/>
      <c r="AB109" s="300">
        <v>7.0</v>
      </c>
      <c r="AC109" s="273"/>
      <c r="AD109" s="273"/>
      <c r="AE109" s="270"/>
      <c r="AF109" s="37"/>
    </row>
    <row r="110" ht="33.75" customHeight="1">
      <c r="A110" s="264"/>
      <c r="B110" s="308"/>
      <c r="C110" s="309">
        <v>3.0</v>
      </c>
      <c r="D110" s="382" t="s">
        <v>156</v>
      </c>
      <c r="E110" s="374">
        <v>8.0</v>
      </c>
      <c r="F110" s="383">
        <v>60.0</v>
      </c>
      <c r="G110" s="384"/>
      <c r="H110" s="385">
        <v>8.0</v>
      </c>
      <c r="I110" s="383">
        <v>60.0</v>
      </c>
      <c r="J110" s="344"/>
      <c r="K110" s="318"/>
      <c r="L110" s="346"/>
      <c r="M110" s="318"/>
      <c r="N110" s="345"/>
      <c r="O110" s="346"/>
      <c r="P110" s="344"/>
      <c r="Q110" s="318"/>
      <c r="R110" s="346"/>
      <c r="S110" s="318"/>
      <c r="T110" s="319">
        <f t="shared" si="7"/>
        <v>960</v>
      </c>
      <c r="U110" s="265"/>
      <c r="V110" s="64"/>
      <c r="AA110" s="63"/>
      <c r="AE110" s="25"/>
      <c r="AF110" s="37"/>
    </row>
    <row r="111" ht="33.75" customHeight="1">
      <c r="A111" s="264"/>
      <c r="B111" s="308"/>
      <c r="C111" s="330">
        <v>4.0</v>
      </c>
      <c r="D111" s="377" t="s">
        <v>159</v>
      </c>
      <c r="E111" s="378">
        <v>12.0</v>
      </c>
      <c r="F111" s="379">
        <v>55.0</v>
      </c>
      <c r="G111" s="380"/>
      <c r="H111" s="381">
        <v>10.0</v>
      </c>
      <c r="I111" s="379">
        <v>55.0</v>
      </c>
      <c r="J111" s="339"/>
      <c r="K111" s="336"/>
      <c r="L111" s="338"/>
      <c r="M111" s="336"/>
      <c r="N111" s="337"/>
      <c r="O111" s="338"/>
      <c r="P111" s="339"/>
      <c r="Q111" s="336"/>
      <c r="R111" s="338"/>
      <c r="S111" s="336"/>
      <c r="T111" s="319">
        <f t="shared" si="7"/>
        <v>1210</v>
      </c>
      <c r="U111" s="265"/>
      <c r="V111" s="275"/>
      <c r="W111" s="276"/>
      <c r="X111" s="276"/>
      <c r="Y111" s="276"/>
      <c r="Z111" s="276"/>
      <c r="AA111" s="291"/>
      <c r="AB111" s="22"/>
      <c r="AC111" s="22"/>
      <c r="AD111" s="22"/>
      <c r="AE111" s="28"/>
      <c r="AF111" s="37"/>
    </row>
    <row r="112" ht="33.75" customHeight="1">
      <c r="A112" s="264"/>
      <c r="B112" s="308"/>
      <c r="C112" s="309">
        <v>5.0</v>
      </c>
      <c r="D112" s="382" t="s">
        <v>161</v>
      </c>
      <c r="E112" s="374">
        <v>10.0</v>
      </c>
      <c r="F112" s="383">
        <v>25.0</v>
      </c>
      <c r="G112" s="384"/>
      <c r="H112" s="385">
        <v>9.0</v>
      </c>
      <c r="I112" s="383">
        <v>25.0</v>
      </c>
      <c r="J112" s="344"/>
      <c r="K112" s="318"/>
      <c r="L112" s="346"/>
      <c r="M112" s="318"/>
      <c r="N112" s="345"/>
      <c r="O112" s="346"/>
      <c r="P112" s="344"/>
      <c r="Q112" s="318"/>
      <c r="R112" s="346"/>
      <c r="S112" s="318"/>
      <c r="T112" s="319">
        <f t="shared" si="7"/>
        <v>475</v>
      </c>
      <c r="U112" s="265"/>
      <c r="V112" s="347">
        <v>1.0</v>
      </c>
      <c r="W112" s="348">
        <v>2.0</v>
      </c>
      <c r="X112" s="349">
        <v>3.0</v>
      </c>
      <c r="Y112" s="350">
        <v>4.0</v>
      </c>
      <c r="Z112" s="351">
        <v>5.0</v>
      </c>
      <c r="AA112" s="352">
        <v>6.0</v>
      </c>
      <c r="AB112" s="353">
        <v>7.0</v>
      </c>
      <c r="AC112" s="354">
        <v>8.0</v>
      </c>
      <c r="AD112" s="355">
        <v>9.0</v>
      </c>
      <c r="AE112" s="356">
        <v>10.0</v>
      </c>
      <c r="AF112" s="37"/>
    </row>
    <row r="113" ht="33.75" customHeight="1">
      <c r="A113" s="264"/>
      <c r="B113" s="308"/>
      <c r="C113" s="330">
        <v>6.0</v>
      </c>
      <c r="D113" s="331" t="s">
        <v>107</v>
      </c>
      <c r="E113" s="378">
        <v>16.0</v>
      </c>
      <c r="F113" s="379">
        <v>7.5</v>
      </c>
      <c r="G113" s="378"/>
      <c r="H113" s="381">
        <v>14.0</v>
      </c>
      <c r="I113" s="379">
        <v>7.5</v>
      </c>
      <c r="J113" s="339"/>
      <c r="K113" s="336"/>
      <c r="L113" s="338"/>
      <c r="M113" s="336"/>
      <c r="N113" s="337"/>
      <c r="O113" s="338"/>
      <c r="P113" s="339"/>
      <c r="Q113" s="336"/>
      <c r="R113" s="338"/>
      <c r="S113" s="336"/>
      <c r="T113" s="319">
        <f t="shared" si="7"/>
        <v>225</v>
      </c>
      <c r="U113" s="265"/>
      <c r="V113" s="293"/>
      <c r="W113" s="293"/>
      <c r="X113" s="293"/>
      <c r="Y113" s="293"/>
      <c r="Z113" s="293"/>
      <c r="AA113" s="293"/>
      <c r="AB113" s="293"/>
      <c r="AC113" s="293"/>
      <c r="AD113" s="293"/>
      <c r="AE113" s="293"/>
      <c r="AF113" s="37"/>
    </row>
    <row r="114" ht="33.75" customHeight="1">
      <c r="A114" s="264"/>
      <c r="B114" s="308"/>
      <c r="C114" s="309">
        <v>7.0</v>
      </c>
      <c r="D114" s="382" t="s">
        <v>163</v>
      </c>
      <c r="E114" s="374">
        <v>14.0</v>
      </c>
      <c r="F114" s="383">
        <v>7.5</v>
      </c>
      <c r="G114" s="384"/>
      <c r="H114" s="385">
        <v>10.0</v>
      </c>
      <c r="I114" s="383">
        <v>5.0</v>
      </c>
      <c r="J114" s="344"/>
      <c r="K114" s="318"/>
      <c r="L114" s="346"/>
      <c r="M114" s="318"/>
      <c r="N114" s="345"/>
      <c r="O114" s="346"/>
      <c r="P114" s="344"/>
      <c r="Q114" s="318"/>
      <c r="R114" s="346"/>
      <c r="S114" s="318"/>
      <c r="T114" s="319">
        <f t="shared" si="7"/>
        <v>155</v>
      </c>
      <c r="U114" s="265"/>
      <c r="V114" s="357" t="s">
        <v>231</v>
      </c>
      <c r="W114" s="268"/>
      <c r="X114" s="268"/>
      <c r="Y114" s="268"/>
      <c r="Z114" s="268"/>
      <c r="AA114" s="268"/>
      <c r="AB114" s="268"/>
      <c r="AC114" s="268"/>
      <c r="AD114" s="268"/>
      <c r="AE114" s="57"/>
      <c r="AF114" s="37"/>
    </row>
    <row r="115" ht="33.75" customHeight="1">
      <c r="A115" s="264"/>
      <c r="B115" s="308"/>
      <c r="C115" s="330">
        <v>8.0</v>
      </c>
      <c r="D115" s="358"/>
      <c r="E115" s="336"/>
      <c r="F115" s="338"/>
      <c r="G115" s="336"/>
      <c r="H115" s="337"/>
      <c r="I115" s="338"/>
      <c r="J115" s="339"/>
      <c r="K115" s="336"/>
      <c r="L115" s="338"/>
      <c r="M115" s="336"/>
      <c r="N115" s="337"/>
      <c r="O115" s="338"/>
      <c r="P115" s="339"/>
      <c r="Q115" s="336"/>
      <c r="R115" s="338"/>
      <c r="S115" s="336"/>
      <c r="T115" s="319">
        <f t="shared" si="7"/>
        <v>0</v>
      </c>
      <c r="U115" s="265"/>
      <c r="V115" s="370"/>
      <c r="W115" s="273"/>
      <c r="X115" s="273"/>
      <c r="Y115" s="273"/>
      <c r="Z115" s="273"/>
      <c r="AA115" s="273"/>
      <c r="AB115" s="273"/>
      <c r="AC115" s="273"/>
      <c r="AD115" s="273"/>
      <c r="AE115" s="270"/>
      <c r="AF115" s="37"/>
    </row>
    <row r="116" ht="33.75" customHeight="1">
      <c r="A116" s="264"/>
      <c r="B116" s="308"/>
      <c r="C116" s="309">
        <v>9.0</v>
      </c>
      <c r="D116" s="360"/>
      <c r="E116" s="318"/>
      <c r="F116" s="346"/>
      <c r="G116" s="318"/>
      <c r="H116" s="345"/>
      <c r="I116" s="346"/>
      <c r="J116" s="344"/>
      <c r="K116" s="318"/>
      <c r="L116" s="346"/>
      <c r="M116" s="318"/>
      <c r="N116" s="345"/>
      <c r="O116" s="346"/>
      <c r="P116" s="344"/>
      <c r="Q116" s="318"/>
      <c r="R116" s="346"/>
      <c r="S116" s="318"/>
      <c r="T116" s="319">
        <f t="shared" si="7"/>
        <v>0</v>
      </c>
      <c r="U116" s="265"/>
      <c r="V116" s="90"/>
      <c r="AE116" s="25"/>
      <c r="AF116" s="37"/>
    </row>
    <row r="117" ht="33.75" customHeight="1">
      <c r="A117" s="264"/>
      <c r="B117" s="308"/>
      <c r="C117" s="330">
        <v>10.0</v>
      </c>
      <c r="D117" s="358"/>
      <c r="E117" s="336"/>
      <c r="F117" s="338"/>
      <c r="G117" s="336"/>
      <c r="H117" s="337"/>
      <c r="I117" s="338"/>
      <c r="J117" s="339"/>
      <c r="K117" s="336"/>
      <c r="L117" s="338"/>
      <c r="M117" s="336"/>
      <c r="N117" s="337"/>
      <c r="O117" s="338"/>
      <c r="P117" s="339"/>
      <c r="Q117" s="336"/>
      <c r="R117" s="338"/>
      <c r="S117" s="336"/>
      <c r="T117" s="319">
        <f t="shared" si="7"/>
        <v>0</v>
      </c>
      <c r="U117" s="265"/>
      <c r="V117" s="90"/>
      <c r="AE117" s="25"/>
      <c r="AF117" s="37"/>
    </row>
    <row r="118" ht="33.75" customHeight="1">
      <c r="A118" s="264"/>
      <c r="B118" s="361"/>
      <c r="C118" s="362">
        <v>11.0</v>
      </c>
      <c r="D118" s="363"/>
      <c r="E118" s="364"/>
      <c r="F118" s="365"/>
      <c r="G118" s="364"/>
      <c r="H118" s="366"/>
      <c r="I118" s="365"/>
      <c r="J118" s="367"/>
      <c r="K118" s="364"/>
      <c r="L118" s="365"/>
      <c r="M118" s="364"/>
      <c r="N118" s="366"/>
      <c r="O118" s="365"/>
      <c r="P118" s="367"/>
      <c r="Q118" s="364"/>
      <c r="R118" s="365"/>
      <c r="S118" s="364"/>
      <c r="T118" s="319">
        <f t="shared" si="7"/>
        <v>0</v>
      </c>
      <c r="U118" s="265"/>
      <c r="V118" s="27"/>
      <c r="W118" s="22"/>
      <c r="X118" s="22"/>
      <c r="Y118" s="22"/>
      <c r="Z118" s="22"/>
      <c r="AA118" s="22"/>
      <c r="AB118" s="22"/>
      <c r="AC118" s="22"/>
      <c r="AD118" s="22"/>
      <c r="AE118" s="28"/>
      <c r="AF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>
      <c r="A120" s="37"/>
      <c r="B120" s="265"/>
      <c r="C120" s="294" t="s">
        <v>209</v>
      </c>
      <c r="D120" s="295"/>
      <c r="E120" s="296" t="s">
        <v>233</v>
      </c>
      <c r="F120" s="297"/>
      <c r="G120" s="297"/>
      <c r="H120" s="297"/>
      <c r="I120" s="297"/>
      <c r="J120" s="297"/>
      <c r="K120" s="297"/>
      <c r="L120" s="297"/>
      <c r="M120" s="282"/>
      <c r="N120" s="298" t="s">
        <v>211</v>
      </c>
      <c r="O120" s="268"/>
      <c r="P120" s="57"/>
      <c r="Q120" s="286" t="s">
        <v>212</v>
      </c>
      <c r="R120" s="268"/>
      <c r="S120" s="57"/>
      <c r="T120" s="292"/>
      <c r="U120" s="265"/>
      <c r="V120" s="299" t="s">
        <v>213</v>
      </c>
      <c r="W120" s="268"/>
      <c r="X120" s="268"/>
      <c r="Y120" s="268"/>
      <c r="Z120" s="268"/>
      <c r="AA120" s="57"/>
      <c r="AB120" s="300">
        <v>9.0</v>
      </c>
      <c r="AC120" s="273"/>
      <c r="AD120" s="273"/>
      <c r="AE120" s="270"/>
      <c r="AF120" s="37"/>
    </row>
    <row r="121">
      <c r="A121" s="37"/>
      <c r="B121" s="265"/>
      <c r="C121" s="301" t="s">
        <v>214</v>
      </c>
      <c r="D121" s="302">
        <v>45859.0</v>
      </c>
      <c r="E121" s="303" t="s">
        <v>215</v>
      </c>
      <c r="F121" s="22"/>
      <c r="G121" s="28"/>
      <c r="H121" s="304" t="s">
        <v>216</v>
      </c>
      <c r="I121" s="297"/>
      <c r="J121" s="282"/>
      <c r="K121" s="304" t="s">
        <v>217</v>
      </c>
      <c r="L121" s="297"/>
      <c r="M121" s="282"/>
      <c r="N121" s="304" t="s">
        <v>218</v>
      </c>
      <c r="O121" s="297"/>
      <c r="P121" s="282"/>
      <c r="Q121" s="304" t="s">
        <v>219</v>
      </c>
      <c r="R121" s="297"/>
      <c r="S121" s="282"/>
      <c r="T121" s="265"/>
      <c r="U121" s="265"/>
      <c r="V121" s="64"/>
      <c r="AA121" s="63"/>
      <c r="AE121" s="25"/>
      <c r="AF121" s="37"/>
    </row>
    <row r="122">
      <c r="A122" s="37"/>
      <c r="B122" s="305" t="s">
        <v>255</v>
      </c>
      <c r="C122" s="306" t="s">
        <v>221</v>
      </c>
      <c r="D122" s="406" t="s">
        <v>222</v>
      </c>
      <c r="E122" s="301" t="s">
        <v>223</v>
      </c>
      <c r="F122" s="301" t="s">
        <v>224</v>
      </c>
      <c r="G122" s="301" t="s">
        <v>66</v>
      </c>
      <c r="H122" s="301" t="s">
        <v>223</v>
      </c>
      <c r="I122" s="301" t="s">
        <v>224</v>
      </c>
      <c r="J122" s="301" t="s">
        <v>66</v>
      </c>
      <c r="K122" s="301" t="s">
        <v>223</v>
      </c>
      <c r="L122" s="301" t="s">
        <v>224</v>
      </c>
      <c r="M122" s="301" t="s">
        <v>66</v>
      </c>
      <c r="N122" s="301" t="s">
        <v>223</v>
      </c>
      <c r="O122" s="301" t="s">
        <v>224</v>
      </c>
      <c r="P122" s="301" t="s">
        <v>66</v>
      </c>
      <c r="Q122" s="301" t="s">
        <v>223</v>
      </c>
      <c r="R122" s="301" t="s">
        <v>224</v>
      </c>
      <c r="S122" s="301" t="s">
        <v>66</v>
      </c>
      <c r="T122" s="307" t="s">
        <v>225</v>
      </c>
      <c r="U122" s="265"/>
      <c r="V122" s="275"/>
      <c r="W122" s="276"/>
      <c r="X122" s="276"/>
      <c r="Y122" s="276"/>
      <c r="Z122" s="276"/>
      <c r="AA122" s="291"/>
      <c r="AB122" s="22"/>
      <c r="AC122" s="22"/>
      <c r="AD122" s="22"/>
      <c r="AE122" s="28"/>
      <c r="AF122" s="37"/>
    </row>
    <row r="123">
      <c r="A123" s="37"/>
      <c r="B123" s="308"/>
      <c r="C123" s="309">
        <v>1.0</v>
      </c>
      <c r="D123" s="407" t="s">
        <v>104</v>
      </c>
      <c r="E123" s="311">
        <v>12.0</v>
      </c>
      <c r="F123" s="312">
        <v>8.0</v>
      </c>
      <c r="G123" s="311"/>
      <c r="H123" s="313">
        <v>12.0</v>
      </c>
      <c r="I123" s="312">
        <v>8.0</v>
      </c>
      <c r="J123" s="314"/>
      <c r="K123" s="311"/>
      <c r="L123" s="312"/>
      <c r="M123" s="311"/>
      <c r="N123" s="315"/>
      <c r="O123" s="316"/>
      <c r="P123" s="317"/>
      <c r="Q123" s="318"/>
      <c r="R123" s="316"/>
      <c r="S123" s="318"/>
      <c r="T123" s="319">
        <f t="shared" ref="T123:T133" si="8">(E123*F123)+(H123*I123)+(K123*L123)+(N123*O123)+(Q123*R123)</f>
        <v>192</v>
      </c>
      <c r="U123" s="265"/>
      <c r="V123" s="320">
        <v>1.0</v>
      </c>
      <c r="W123" s="321">
        <v>2.0</v>
      </c>
      <c r="X123" s="322">
        <v>3.0</v>
      </c>
      <c r="Y123" s="323">
        <v>4.0</v>
      </c>
      <c r="Z123" s="324">
        <v>5.0</v>
      </c>
      <c r="AA123" s="325">
        <v>6.0</v>
      </c>
      <c r="AB123" s="326">
        <v>7.0</v>
      </c>
      <c r="AC123" s="327">
        <v>8.0</v>
      </c>
      <c r="AD123" s="328">
        <v>9.0</v>
      </c>
      <c r="AE123" s="329">
        <v>10.0</v>
      </c>
      <c r="AF123" s="37"/>
    </row>
    <row r="124">
      <c r="A124" s="37"/>
      <c r="B124" s="308"/>
      <c r="C124" s="330">
        <v>2.0</v>
      </c>
      <c r="D124" s="408" t="s">
        <v>145</v>
      </c>
      <c r="E124" s="332">
        <v>10.0</v>
      </c>
      <c r="F124" s="333">
        <v>40.0</v>
      </c>
      <c r="G124" s="332"/>
      <c r="H124" s="334">
        <v>7.0</v>
      </c>
      <c r="I124" s="333">
        <v>40.0</v>
      </c>
      <c r="J124" s="335"/>
      <c r="K124" s="332"/>
      <c r="L124" s="333"/>
      <c r="M124" s="336"/>
      <c r="N124" s="337"/>
      <c r="O124" s="338"/>
      <c r="P124" s="339"/>
      <c r="Q124" s="336"/>
      <c r="R124" s="338"/>
      <c r="S124" s="336"/>
      <c r="T124" s="319">
        <f t="shared" si="8"/>
        <v>680</v>
      </c>
      <c r="U124" s="265"/>
      <c r="V124" s="340" t="s">
        <v>227</v>
      </c>
      <c r="W124" s="268"/>
      <c r="X124" s="268"/>
      <c r="Y124" s="268"/>
      <c r="Z124" s="268"/>
      <c r="AA124" s="57"/>
      <c r="AB124" s="300">
        <v>9.0</v>
      </c>
      <c r="AC124" s="273"/>
      <c r="AD124" s="273"/>
      <c r="AE124" s="270"/>
      <c r="AF124" s="37"/>
    </row>
    <row r="125">
      <c r="A125" s="37"/>
      <c r="B125" s="308"/>
      <c r="C125" s="309">
        <v>3.0</v>
      </c>
      <c r="D125" s="409" t="s">
        <v>146</v>
      </c>
      <c r="E125" s="311">
        <v>8.0</v>
      </c>
      <c r="F125" s="342">
        <v>28.0</v>
      </c>
      <c r="G125" s="311"/>
      <c r="H125" s="343">
        <v>6.0</v>
      </c>
      <c r="I125" s="342">
        <v>28.0</v>
      </c>
      <c r="J125" s="344"/>
      <c r="K125" s="311"/>
      <c r="L125" s="342"/>
      <c r="M125" s="318"/>
      <c r="N125" s="345"/>
      <c r="O125" s="346"/>
      <c r="P125" s="344"/>
      <c r="Q125" s="318"/>
      <c r="R125" s="346"/>
      <c r="S125" s="318"/>
      <c r="T125" s="319">
        <f t="shared" si="8"/>
        <v>392</v>
      </c>
      <c r="U125" s="265"/>
      <c r="V125" s="64"/>
      <c r="AA125" s="63"/>
      <c r="AE125" s="25"/>
      <c r="AF125" s="37"/>
    </row>
    <row r="126">
      <c r="A126" s="37"/>
      <c r="B126" s="308"/>
      <c r="C126" s="330">
        <v>4.0</v>
      </c>
      <c r="D126" s="408" t="s">
        <v>76</v>
      </c>
      <c r="E126" s="332">
        <v>12.0</v>
      </c>
      <c r="F126" s="333">
        <v>12.5</v>
      </c>
      <c r="G126" s="332"/>
      <c r="H126" s="334">
        <v>16.0</v>
      </c>
      <c r="I126" s="333">
        <v>10.0</v>
      </c>
      <c r="J126" s="335"/>
      <c r="K126" s="332"/>
      <c r="L126" s="333"/>
      <c r="M126" s="336"/>
      <c r="N126" s="337"/>
      <c r="O126" s="338"/>
      <c r="P126" s="339"/>
      <c r="Q126" s="336"/>
      <c r="R126" s="338"/>
      <c r="S126" s="336"/>
      <c r="T126" s="319">
        <f t="shared" si="8"/>
        <v>310</v>
      </c>
      <c r="U126" s="265"/>
      <c r="V126" s="275"/>
      <c r="W126" s="276"/>
      <c r="X126" s="276"/>
      <c r="Y126" s="276"/>
      <c r="Z126" s="276"/>
      <c r="AA126" s="291"/>
      <c r="AB126" s="22"/>
      <c r="AC126" s="22"/>
      <c r="AD126" s="22"/>
      <c r="AE126" s="28"/>
      <c r="AF126" s="37"/>
    </row>
    <row r="127">
      <c r="A127" s="37"/>
      <c r="B127" s="308"/>
      <c r="C127" s="309">
        <v>5.0</v>
      </c>
      <c r="D127" s="409" t="s">
        <v>147</v>
      </c>
      <c r="E127" s="311">
        <v>16.0</v>
      </c>
      <c r="F127" s="342">
        <v>7.5</v>
      </c>
      <c r="G127" s="311"/>
      <c r="H127" s="343">
        <v>12.0</v>
      </c>
      <c r="I127" s="342">
        <v>7.5</v>
      </c>
      <c r="J127" s="344"/>
      <c r="K127" s="311"/>
      <c r="L127" s="342"/>
      <c r="M127" s="318"/>
      <c r="N127" s="345"/>
      <c r="O127" s="346"/>
      <c r="P127" s="344"/>
      <c r="Q127" s="318"/>
      <c r="R127" s="346"/>
      <c r="S127" s="318"/>
      <c r="T127" s="319">
        <f t="shared" si="8"/>
        <v>210</v>
      </c>
      <c r="U127" s="265"/>
      <c r="V127" s="347">
        <v>1.0</v>
      </c>
      <c r="W127" s="348">
        <v>2.0</v>
      </c>
      <c r="X127" s="349">
        <v>3.0</v>
      </c>
      <c r="Y127" s="350">
        <v>4.0</v>
      </c>
      <c r="Z127" s="351">
        <v>5.0</v>
      </c>
      <c r="AA127" s="352">
        <v>6.0</v>
      </c>
      <c r="AB127" s="353">
        <v>7.0</v>
      </c>
      <c r="AC127" s="354">
        <v>8.0</v>
      </c>
      <c r="AD127" s="355">
        <v>9.0</v>
      </c>
      <c r="AE127" s="356">
        <v>10.0</v>
      </c>
      <c r="AF127" s="37"/>
    </row>
    <row r="128">
      <c r="A128" s="37"/>
      <c r="B128" s="308"/>
      <c r="C128" s="330">
        <v>6.0</v>
      </c>
      <c r="D128" s="408" t="s">
        <v>149</v>
      </c>
      <c r="E128" s="332">
        <v>16.0</v>
      </c>
      <c r="F128" s="333">
        <v>10.0</v>
      </c>
      <c r="G128" s="336"/>
      <c r="H128" s="334">
        <v>15.0</v>
      </c>
      <c r="I128" s="333">
        <v>10.0</v>
      </c>
      <c r="J128" s="339"/>
      <c r="K128" s="332"/>
      <c r="L128" s="333"/>
      <c r="M128" s="336"/>
      <c r="N128" s="337"/>
      <c r="O128" s="338"/>
      <c r="P128" s="339"/>
      <c r="Q128" s="336"/>
      <c r="R128" s="338"/>
      <c r="S128" s="336"/>
      <c r="T128" s="319">
        <f t="shared" si="8"/>
        <v>310</v>
      </c>
      <c r="U128" s="265"/>
      <c r="V128" s="293"/>
      <c r="W128" s="293"/>
      <c r="X128" s="293"/>
      <c r="Y128" s="293"/>
      <c r="Z128" s="293"/>
      <c r="AA128" s="293"/>
      <c r="AB128" s="293"/>
      <c r="AC128" s="293"/>
      <c r="AD128" s="293"/>
      <c r="AE128" s="293"/>
      <c r="AF128" s="37"/>
    </row>
    <row r="129">
      <c r="A129" s="37"/>
      <c r="B129" s="308"/>
      <c r="C129" s="309">
        <v>7.0</v>
      </c>
      <c r="D129" s="382" t="s">
        <v>151</v>
      </c>
      <c r="E129" s="311">
        <v>14.0</v>
      </c>
      <c r="F129" s="342">
        <v>12.5</v>
      </c>
      <c r="G129" s="318"/>
      <c r="H129" s="343">
        <v>12.0</v>
      </c>
      <c r="I129" s="342">
        <v>12.5</v>
      </c>
      <c r="J129" s="344"/>
      <c r="K129" s="311"/>
      <c r="L129" s="342"/>
      <c r="M129" s="318"/>
      <c r="N129" s="345"/>
      <c r="O129" s="346"/>
      <c r="P129" s="344"/>
      <c r="Q129" s="318"/>
      <c r="R129" s="346"/>
      <c r="S129" s="318"/>
      <c r="T129" s="319">
        <f t="shared" si="8"/>
        <v>325</v>
      </c>
      <c r="U129" s="265"/>
      <c r="V129" s="357" t="s">
        <v>231</v>
      </c>
      <c r="W129" s="268"/>
      <c r="X129" s="268"/>
      <c r="Y129" s="268"/>
      <c r="Z129" s="268"/>
      <c r="AA129" s="268"/>
      <c r="AB129" s="268"/>
      <c r="AC129" s="268"/>
      <c r="AD129" s="268"/>
      <c r="AE129" s="57"/>
      <c r="AF129" s="37"/>
    </row>
    <row r="130">
      <c r="A130" s="37"/>
      <c r="B130" s="308"/>
      <c r="C130" s="330">
        <v>8.0</v>
      </c>
      <c r="D130" s="331"/>
      <c r="E130" s="336"/>
      <c r="F130" s="338"/>
      <c r="G130" s="336"/>
      <c r="H130" s="337"/>
      <c r="I130" s="338"/>
      <c r="J130" s="339"/>
      <c r="K130" s="336"/>
      <c r="L130" s="338"/>
      <c r="M130" s="336"/>
      <c r="N130" s="337"/>
      <c r="O130" s="338"/>
      <c r="P130" s="339"/>
      <c r="Q130" s="336"/>
      <c r="R130" s="338"/>
      <c r="S130" s="336"/>
      <c r="T130" s="319">
        <f t="shared" si="8"/>
        <v>0</v>
      </c>
      <c r="U130" s="265"/>
      <c r="V130" s="359" t="s">
        <v>232</v>
      </c>
      <c r="W130" s="273"/>
      <c r="X130" s="273"/>
      <c r="Y130" s="273"/>
      <c r="Z130" s="273"/>
      <c r="AA130" s="273"/>
      <c r="AB130" s="273"/>
      <c r="AC130" s="273"/>
      <c r="AD130" s="273"/>
      <c r="AE130" s="270"/>
      <c r="AF130" s="37"/>
    </row>
    <row r="131">
      <c r="A131" s="37"/>
      <c r="B131" s="308"/>
      <c r="C131" s="309">
        <v>9.0</v>
      </c>
      <c r="D131" s="360"/>
      <c r="E131" s="318"/>
      <c r="F131" s="346"/>
      <c r="G131" s="318"/>
      <c r="H131" s="345"/>
      <c r="I131" s="346"/>
      <c r="J131" s="344"/>
      <c r="K131" s="318"/>
      <c r="L131" s="346"/>
      <c r="M131" s="318"/>
      <c r="N131" s="345"/>
      <c r="O131" s="346"/>
      <c r="P131" s="344"/>
      <c r="Q131" s="318"/>
      <c r="R131" s="346"/>
      <c r="S131" s="318"/>
      <c r="T131" s="319">
        <f t="shared" si="8"/>
        <v>0</v>
      </c>
      <c r="U131" s="265"/>
      <c r="V131" s="90"/>
      <c r="AE131" s="25"/>
      <c r="AF131" s="37"/>
    </row>
    <row r="132">
      <c r="A132" s="37"/>
      <c r="B132" s="308"/>
      <c r="C132" s="330">
        <v>10.0</v>
      </c>
      <c r="D132" s="358"/>
      <c r="E132" s="336"/>
      <c r="F132" s="338"/>
      <c r="G132" s="336"/>
      <c r="H132" s="337"/>
      <c r="I132" s="338"/>
      <c r="J132" s="339"/>
      <c r="K132" s="336"/>
      <c r="L132" s="338"/>
      <c r="M132" s="336"/>
      <c r="N132" s="337"/>
      <c r="O132" s="338"/>
      <c r="P132" s="339"/>
      <c r="Q132" s="336"/>
      <c r="R132" s="338"/>
      <c r="S132" s="336"/>
      <c r="T132" s="319">
        <f t="shared" si="8"/>
        <v>0</v>
      </c>
      <c r="U132" s="265"/>
      <c r="V132" s="90"/>
      <c r="AE132" s="25"/>
      <c r="AF132" s="37"/>
    </row>
    <row r="133">
      <c r="A133" s="37"/>
      <c r="B133" s="361"/>
      <c r="C133" s="362">
        <v>11.0</v>
      </c>
      <c r="D133" s="363"/>
      <c r="E133" s="364"/>
      <c r="F133" s="365"/>
      <c r="G133" s="364"/>
      <c r="H133" s="366"/>
      <c r="I133" s="365"/>
      <c r="J133" s="367"/>
      <c r="K133" s="364"/>
      <c r="L133" s="365"/>
      <c r="M133" s="364"/>
      <c r="N133" s="366"/>
      <c r="O133" s="365"/>
      <c r="P133" s="367"/>
      <c r="Q133" s="364"/>
      <c r="R133" s="365"/>
      <c r="S133" s="364"/>
      <c r="T133" s="319">
        <f t="shared" si="8"/>
        <v>0</v>
      </c>
      <c r="U133" s="265"/>
      <c r="V133" s="27"/>
      <c r="W133" s="22"/>
      <c r="X133" s="22"/>
      <c r="Y133" s="22"/>
      <c r="Z133" s="22"/>
      <c r="AA133" s="22"/>
      <c r="AB133" s="22"/>
      <c r="AC133" s="22"/>
      <c r="AD133" s="22"/>
      <c r="AE133" s="28"/>
      <c r="AF133" s="37"/>
    </row>
    <row r="134">
      <c r="A134" s="37"/>
      <c r="B134" s="368"/>
      <c r="C134" s="265"/>
      <c r="D134" s="265"/>
      <c r="E134" s="265"/>
      <c r="F134" s="265"/>
      <c r="G134" s="265"/>
      <c r="H134" s="265"/>
      <c r="I134" s="292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93"/>
      <c r="W134" s="293"/>
      <c r="X134" s="293"/>
      <c r="Y134" s="293"/>
      <c r="Z134" s="293"/>
      <c r="AA134" s="293"/>
      <c r="AB134" s="293"/>
      <c r="AC134" s="293"/>
      <c r="AD134" s="293"/>
      <c r="AE134" s="293"/>
      <c r="AF134" s="37"/>
    </row>
    <row r="135">
      <c r="A135" s="37"/>
      <c r="B135" s="265"/>
      <c r="C135" s="294" t="s">
        <v>209</v>
      </c>
      <c r="D135" s="295"/>
      <c r="E135" s="296" t="s">
        <v>248</v>
      </c>
      <c r="F135" s="297"/>
      <c r="G135" s="297"/>
      <c r="H135" s="297"/>
      <c r="I135" s="297"/>
      <c r="J135" s="297"/>
      <c r="K135" s="297"/>
      <c r="L135" s="297"/>
      <c r="M135" s="282"/>
      <c r="N135" s="298" t="s">
        <v>211</v>
      </c>
      <c r="O135" s="268"/>
      <c r="P135" s="57"/>
      <c r="Q135" s="286" t="s">
        <v>212</v>
      </c>
      <c r="R135" s="268"/>
      <c r="S135" s="57"/>
      <c r="T135" s="292"/>
      <c r="U135" s="265"/>
      <c r="V135" s="299" t="s">
        <v>213</v>
      </c>
      <c r="W135" s="268"/>
      <c r="X135" s="268"/>
      <c r="Y135" s="268"/>
      <c r="Z135" s="268"/>
      <c r="AA135" s="57"/>
      <c r="AB135" s="300">
        <v>8.0</v>
      </c>
      <c r="AC135" s="273"/>
      <c r="AD135" s="273"/>
      <c r="AE135" s="270"/>
      <c r="AF135" s="37"/>
    </row>
    <row r="136">
      <c r="A136" s="37"/>
      <c r="B136" s="265"/>
      <c r="C136" s="301" t="s">
        <v>214</v>
      </c>
      <c r="D136" s="302">
        <v>45860.0</v>
      </c>
      <c r="E136" s="303" t="s">
        <v>215</v>
      </c>
      <c r="F136" s="22"/>
      <c r="G136" s="28"/>
      <c r="H136" s="304" t="s">
        <v>216</v>
      </c>
      <c r="I136" s="297"/>
      <c r="J136" s="282"/>
      <c r="K136" s="304" t="s">
        <v>217</v>
      </c>
      <c r="L136" s="297"/>
      <c r="M136" s="282"/>
      <c r="N136" s="304" t="s">
        <v>218</v>
      </c>
      <c r="O136" s="297"/>
      <c r="P136" s="282"/>
      <c r="Q136" s="304" t="s">
        <v>219</v>
      </c>
      <c r="R136" s="297"/>
      <c r="S136" s="282"/>
      <c r="T136" s="265"/>
      <c r="U136" s="265"/>
      <c r="V136" s="64"/>
      <c r="AA136" s="63"/>
      <c r="AE136" s="25"/>
      <c r="AF136" s="37"/>
    </row>
    <row r="137">
      <c r="A137" s="37"/>
      <c r="B137" s="305" t="s">
        <v>256</v>
      </c>
      <c r="C137" s="306" t="s">
        <v>221</v>
      </c>
      <c r="D137" s="306" t="s">
        <v>222</v>
      </c>
      <c r="E137" s="301" t="s">
        <v>223</v>
      </c>
      <c r="F137" s="301" t="s">
        <v>224</v>
      </c>
      <c r="G137" s="301" t="s">
        <v>66</v>
      </c>
      <c r="H137" s="301" t="s">
        <v>223</v>
      </c>
      <c r="I137" s="301" t="s">
        <v>224</v>
      </c>
      <c r="J137" s="301" t="s">
        <v>66</v>
      </c>
      <c r="K137" s="301" t="s">
        <v>223</v>
      </c>
      <c r="L137" s="301" t="s">
        <v>224</v>
      </c>
      <c r="M137" s="301" t="s">
        <v>66</v>
      </c>
      <c r="N137" s="301" t="s">
        <v>223</v>
      </c>
      <c r="O137" s="301" t="s">
        <v>224</v>
      </c>
      <c r="P137" s="301" t="s">
        <v>66</v>
      </c>
      <c r="Q137" s="301" t="s">
        <v>223</v>
      </c>
      <c r="R137" s="301" t="s">
        <v>224</v>
      </c>
      <c r="S137" s="301" t="s">
        <v>66</v>
      </c>
      <c r="T137" s="307" t="s">
        <v>225</v>
      </c>
      <c r="U137" s="265"/>
      <c r="V137" s="275"/>
      <c r="W137" s="276"/>
      <c r="X137" s="276"/>
      <c r="Y137" s="276"/>
      <c r="Z137" s="276"/>
      <c r="AA137" s="291"/>
      <c r="AB137" s="22"/>
      <c r="AC137" s="22"/>
      <c r="AD137" s="22"/>
      <c r="AE137" s="28"/>
      <c r="AF137" s="37"/>
    </row>
    <row r="138">
      <c r="A138" s="37"/>
      <c r="B138" s="308"/>
      <c r="C138" s="309">
        <v>1.0</v>
      </c>
      <c r="D138" s="373" t="s">
        <v>130</v>
      </c>
      <c r="E138" s="374">
        <v>12.0</v>
      </c>
      <c r="F138" s="375">
        <v>10.0</v>
      </c>
      <c r="G138" s="384"/>
      <c r="H138" s="376">
        <v>12.0</v>
      </c>
      <c r="I138" s="375">
        <v>10.0</v>
      </c>
      <c r="J138" s="317"/>
      <c r="K138" s="311"/>
      <c r="L138" s="312"/>
      <c r="M138" s="318"/>
      <c r="N138" s="315"/>
      <c r="O138" s="316"/>
      <c r="P138" s="317"/>
      <c r="Q138" s="318"/>
      <c r="R138" s="316"/>
      <c r="S138" s="318"/>
      <c r="T138" s="319">
        <f t="shared" ref="T138:T148" si="9">(E138*F138)+(H138*I138)+(K138*L138)+(N138*O138)+(Q138*R138)</f>
        <v>240</v>
      </c>
      <c r="U138" s="265"/>
      <c r="V138" s="320">
        <v>1.0</v>
      </c>
      <c r="W138" s="321">
        <v>2.0</v>
      </c>
      <c r="X138" s="322">
        <v>3.0</v>
      </c>
      <c r="Y138" s="323">
        <v>4.0</v>
      </c>
      <c r="Z138" s="324">
        <v>5.0</v>
      </c>
      <c r="AA138" s="325">
        <v>6.0</v>
      </c>
      <c r="AB138" s="326">
        <v>7.0</v>
      </c>
      <c r="AC138" s="327">
        <v>8.0</v>
      </c>
      <c r="AD138" s="328">
        <v>9.0</v>
      </c>
      <c r="AE138" s="329">
        <v>10.0</v>
      </c>
      <c r="AF138" s="37"/>
    </row>
    <row r="139">
      <c r="A139" s="37"/>
      <c r="B139" s="308"/>
      <c r="C139" s="330">
        <v>2.0</v>
      </c>
      <c r="D139" s="377" t="s">
        <v>183</v>
      </c>
      <c r="E139" s="378">
        <v>14.0</v>
      </c>
      <c r="F139" s="379">
        <v>15.0</v>
      </c>
      <c r="G139" s="380"/>
      <c r="H139" s="381">
        <v>12.0</v>
      </c>
      <c r="I139" s="379">
        <v>15.0</v>
      </c>
      <c r="J139" s="339"/>
      <c r="K139" s="332"/>
      <c r="L139" s="333"/>
      <c r="M139" s="336"/>
      <c r="N139" s="337"/>
      <c r="O139" s="338"/>
      <c r="P139" s="339"/>
      <c r="Q139" s="336"/>
      <c r="R139" s="338"/>
      <c r="S139" s="336"/>
      <c r="T139" s="319">
        <f t="shared" si="9"/>
        <v>390</v>
      </c>
      <c r="U139" s="265"/>
      <c r="V139" s="340" t="s">
        <v>227</v>
      </c>
      <c r="W139" s="268"/>
      <c r="X139" s="268"/>
      <c r="Y139" s="268"/>
      <c r="Z139" s="268"/>
      <c r="AA139" s="57"/>
      <c r="AB139" s="300">
        <v>8.0</v>
      </c>
      <c r="AC139" s="273"/>
      <c r="AD139" s="273"/>
      <c r="AE139" s="270"/>
      <c r="AF139" s="37"/>
    </row>
    <row r="140">
      <c r="A140" s="37"/>
      <c r="B140" s="308"/>
      <c r="C140" s="309">
        <v>3.0</v>
      </c>
      <c r="D140" s="382" t="s">
        <v>131</v>
      </c>
      <c r="E140" s="374">
        <v>12.0</v>
      </c>
      <c r="F140" s="383">
        <v>50.0</v>
      </c>
      <c r="G140" s="384"/>
      <c r="H140" s="385">
        <v>12.0</v>
      </c>
      <c r="I140" s="383">
        <v>45.0</v>
      </c>
      <c r="J140" s="344"/>
      <c r="K140" s="311"/>
      <c r="L140" s="342"/>
      <c r="M140" s="318"/>
      <c r="N140" s="345"/>
      <c r="O140" s="346"/>
      <c r="P140" s="344"/>
      <c r="Q140" s="318"/>
      <c r="R140" s="346"/>
      <c r="S140" s="318"/>
      <c r="T140" s="319">
        <f t="shared" si="9"/>
        <v>1140</v>
      </c>
      <c r="U140" s="265"/>
      <c r="V140" s="64"/>
      <c r="AA140" s="63"/>
      <c r="AE140" s="25"/>
      <c r="AF140" s="37"/>
    </row>
    <row r="141">
      <c r="A141" s="37"/>
      <c r="B141" s="308"/>
      <c r="C141" s="330">
        <v>4.0</v>
      </c>
      <c r="D141" s="377" t="s">
        <v>106</v>
      </c>
      <c r="E141" s="378">
        <v>10.0</v>
      </c>
      <c r="F141" s="379">
        <v>30.0</v>
      </c>
      <c r="G141" s="380"/>
      <c r="H141" s="381">
        <v>10.0</v>
      </c>
      <c r="I141" s="379">
        <v>30.0</v>
      </c>
      <c r="J141" s="339"/>
      <c r="K141" s="332"/>
      <c r="L141" s="333"/>
      <c r="M141" s="336"/>
      <c r="N141" s="334"/>
      <c r="O141" s="333"/>
      <c r="P141" s="339"/>
      <c r="Q141" s="336"/>
      <c r="R141" s="338"/>
      <c r="S141" s="336"/>
      <c r="T141" s="319">
        <f t="shared" si="9"/>
        <v>600</v>
      </c>
      <c r="U141" s="265"/>
      <c r="V141" s="275"/>
      <c r="W141" s="276"/>
      <c r="X141" s="276"/>
      <c r="Y141" s="276"/>
      <c r="Z141" s="276"/>
      <c r="AA141" s="291"/>
      <c r="AB141" s="22"/>
      <c r="AC141" s="22"/>
      <c r="AD141" s="22"/>
      <c r="AE141" s="28"/>
      <c r="AF141" s="37"/>
    </row>
    <row r="142">
      <c r="A142" s="37"/>
      <c r="B142" s="308"/>
      <c r="C142" s="309">
        <v>5.0</v>
      </c>
      <c r="D142" s="382" t="s">
        <v>185</v>
      </c>
      <c r="E142" s="374">
        <v>10.0</v>
      </c>
      <c r="F142" s="383">
        <v>30.0</v>
      </c>
      <c r="G142" s="384"/>
      <c r="H142" s="385">
        <v>10.0</v>
      </c>
      <c r="I142" s="383">
        <v>30.0</v>
      </c>
      <c r="J142" s="344"/>
      <c r="K142" s="311"/>
      <c r="L142" s="342"/>
      <c r="M142" s="318"/>
      <c r="N142" s="345"/>
      <c r="O142" s="346"/>
      <c r="P142" s="344"/>
      <c r="Q142" s="318"/>
      <c r="R142" s="346"/>
      <c r="S142" s="318"/>
      <c r="T142" s="319">
        <f t="shared" si="9"/>
        <v>600</v>
      </c>
      <c r="U142" s="265"/>
      <c r="V142" s="347">
        <v>1.0</v>
      </c>
      <c r="W142" s="348">
        <v>2.0</v>
      </c>
      <c r="X142" s="349">
        <v>3.0</v>
      </c>
      <c r="Y142" s="350">
        <v>4.0</v>
      </c>
      <c r="Z142" s="351">
        <v>5.0</v>
      </c>
      <c r="AA142" s="352">
        <v>6.0</v>
      </c>
      <c r="AB142" s="353">
        <v>7.0</v>
      </c>
      <c r="AC142" s="354">
        <v>8.0</v>
      </c>
      <c r="AD142" s="355">
        <v>9.0</v>
      </c>
      <c r="AE142" s="356">
        <v>10.0</v>
      </c>
      <c r="AF142" s="37"/>
    </row>
    <row r="143">
      <c r="A143" s="37"/>
      <c r="B143" s="308"/>
      <c r="C143" s="330">
        <v>6.0</v>
      </c>
      <c r="D143" s="331" t="s">
        <v>186</v>
      </c>
      <c r="E143" s="378">
        <v>12.0</v>
      </c>
      <c r="F143" s="379">
        <v>30.0</v>
      </c>
      <c r="G143" s="380"/>
      <c r="H143" s="381">
        <v>12.0</v>
      </c>
      <c r="I143" s="379">
        <v>30.0</v>
      </c>
      <c r="J143" s="339"/>
      <c r="K143" s="336"/>
      <c r="L143" s="333"/>
      <c r="M143" s="336"/>
      <c r="N143" s="337"/>
      <c r="O143" s="338"/>
      <c r="P143" s="339"/>
      <c r="Q143" s="336"/>
      <c r="R143" s="338"/>
      <c r="S143" s="336"/>
      <c r="T143" s="319">
        <f t="shared" si="9"/>
        <v>720</v>
      </c>
      <c r="U143" s="265"/>
      <c r="V143" s="293"/>
      <c r="W143" s="293"/>
      <c r="X143" s="293"/>
      <c r="Y143" s="293"/>
      <c r="Z143" s="293"/>
      <c r="AA143" s="293"/>
      <c r="AB143" s="293"/>
      <c r="AC143" s="293"/>
      <c r="AD143" s="293"/>
      <c r="AE143" s="293"/>
      <c r="AF143" s="37"/>
    </row>
    <row r="144">
      <c r="A144" s="37"/>
      <c r="B144" s="308"/>
      <c r="C144" s="309">
        <v>7.0</v>
      </c>
      <c r="D144" s="382" t="s">
        <v>187</v>
      </c>
      <c r="E144" s="311">
        <v>11.0</v>
      </c>
      <c r="F144" s="342">
        <v>15.0</v>
      </c>
      <c r="G144" s="318"/>
      <c r="H144" s="343">
        <v>10.0</v>
      </c>
      <c r="I144" s="342">
        <v>15.0</v>
      </c>
      <c r="J144" s="344"/>
      <c r="K144" s="318"/>
      <c r="L144" s="346"/>
      <c r="M144" s="318"/>
      <c r="N144" s="345"/>
      <c r="O144" s="346"/>
      <c r="P144" s="344"/>
      <c r="Q144" s="318"/>
      <c r="R144" s="346"/>
      <c r="S144" s="318"/>
      <c r="T144" s="319">
        <f t="shared" si="9"/>
        <v>315</v>
      </c>
      <c r="U144" s="265"/>
      <c r="V144" s="357" t="s">
        <v>231</v>
      </c>
      <c r="W144" s="268"/>
      <c r="X144" s="268"/>
      <c r="Y144" s="268"/>
      <c r="Z144" s="268"/>
      <c r="AA144" s="268"/>
      <c r="AB144" s="268"/>
      <c r="AC144" s="268"/>
      <c r="AD144" s="268"/>
      <c r="AE144" s="57"/>
      <c r="AF144" s="37"/>
    </row>
    <row r="145">
      <c r="A145" s="37"/>
      <c r="B145" s="308"/>
      <c r="C145" s="330">
        <v>8.0</v>
      </c>
      <c r="D145" s="358"/>
      <c r="E145" s="336"/>
      <c r="F145" s="338"/>
      <c r="G145" s="336"/>
      <c r="H145" s="337"/>
      <c r="I145" s="338"/>
      <c r="J145" s="339"/>
      <c r="K145" s="336"/>
      <c r="L145" s="338"/>
      <c r="M145" s="336"/>
      <c r="N145" s="337"/>
      <c r="O145" s="338"/>
      <c r="P145" s="339"/>
      <c r="Q145" s="336"/>
      <c r="R145" s="338"/>
      <c r="S145" s="336"/>
      <c r="T145" s="319">
        <f t="shared" si="9"/>
        <v>0</v>
      </c>
      <c r="U145" s="265"/>
      <c r="V145" s="370"/>
      <c r="W145" s="273"/>
      <c r="X145" s="273"/>
      <c r="Y145" s="273"/>
      <c r="Z145" s="273"/>
      <c r="AA145" s="273"/>
      <c r="AB145" s="273"/>
      <c r="AC145" s="273"/>
      <c r="AD145" s="273"/>
      <c r="AE145" s="270"/>
      <c r="AF145" s="37"/>
    </row>
    <row r="146">
      <c r="A146" s="37"/>
      <c r="B146" s="308"/>
      <c r="C146" s="309">
        <v>9.0</v>
      </c>
      <c r="D146" s="360"/>
      <c r="E146" s="318"/>
      <c r="F146" s="346"/>
      <c r="G146" s="318"/>
      <c r="H146" s="345"/>
      <c r="I146" s="346"/>
      <c r="J146" s="344"/>
      <c r="K146" s="318"/>
      <c r="L146" s="346"/>
      <c r="M146" s="318"/>
      <c r="N146" s="345"/>
      <c r="O146" s="346"/>
      <c r="P146" s="344"/>
      <c r="Q146" s="318"/>
      <c r="R146" s="346"/>
      <c r="S146" s="318"/>
      <c r="T146" s="319">
        <f t="shared" si="9"/>
        <v>0</v>
      </c>
      <c r="U146" s="265"/>
      <c r="V146" s="90"/>
      <c r="AE146" s="25"/>
      <c r="AF146" s="37"/>
    </row>
    <row r="147">
      <c r="A147" s="37"/>
      <c r="B147" s="308"/>
      <c r="C147" s="330">
        <v>10.0</v>
      </c>
      <c r="D147" s="358"/>
      <c r="E147" s="336"/>
      <c r="F147" s="338"/>
      <c r="G147" s="336"/>
      <c r="H147" s="337"/>
      <c r="I147" s="338"/>
      <c r="J147" s="339"/>
      <c r="K147" s="336"/>
      <c r="L147" s="338"/>
      <c r="M147" s="336"/>
      <c r="N147" s="337"/>
      <c r="O147" s="338"/>
      <c r="P147" s="339"/>
      <c r="Q147" s="336"/>
      <c r="R147" s="338"/>
      <c r="S147" s="336"/>
      <c r="T147" s="319">
        <f t="shared" si="9"/>
        <v>0</v>
      </c>
      <c r="U147" s="265"/>
      <c r="V147" s="90"/>
      <c r="AE147" s="25"/>
      <c r="AF147" s="37"/>
    </row>
    <row r="148">
      <c r="A148" s="37"/>
      <c r="B148" s="361"/>
      <c r="C148" s="362">
        <v>11.0</v>
      </c>
      <c r="D148" s="363"/>
      <c r="E148" s="364"/>
      <c r="F148" s="365"/>
      <c r="G148" s="364"/>
      <c r="H148" s="366"/>
      <c r="I148" s="365"/>
      <c r="J148" s="367"/>
      <c r="K148" s="364"/>
      <c r="L148" s="365"/>
      <c r="M148" s="364"/>
      <c r="N148" s="366"/>
      <c r="O148" s="365"/>
      <c r="P148" s="367"/>
      <c r="Q148" s="364"/>
      <c r="R148" s="365"/>
      <c r="S148" s="364"/>
      <c r="T148" s="319">
        <f t="shared" si="9"/>
        <v>0</v>
      </c>
      <c r="U148" s="265"/>
      <c r="V148" s="27"/>
      <c r="W148" s="22"/>
      <c r="X148" s="22"/>
      <c r="Y148" s="22"/>
      <c r="Z148" s="22"/>
      <c r="AA148" s="22"/>
      <c r="AB148" s="22"/>
      <c r="AC148" s="22"/>
      <c r="AD148" s="22"/>
      <c r="AE148" s="28"/>
      <c r="AF148" s="37"/>
    </row>
    <row r="149">
      <c r="A149" s="37"/>
      <c r="B149" s="368"/>
      <c r="C149" s="265"/>
      <c r="D149" s="265"/>
      <c r="E149" s="265"/>
      <c r="F149" s="265"/>
      <c r="G149" s="265"/>
      <c r="H149" s="265"/>
      <c r="I149" s="265"/>
      <c r="J149" s="265"/>
      <c r="K149" s="292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93"/>
      <c r="W149" s="293"/>
      <c r="X149" s="293"/>
      <c r="Y149" s="293"/>
      <c r="Z149" s="293"/>
      <c r="AA149" s="293"/>
      <c r="AB149" s="293"/>
      <c r="AC149" s="371"/>
      <c r="AD149" s="293"/>
      <c r="AE149" s="293"/>
      <c r="AF149" s="37"/>
    </row>
    <row r="150">
      <c r="A150" s="37"/>
      <c r="B150" s="265"/>
      <c r="C150" s="294" t="s">
        <v>209</v>
      </c>
      <c r="D150" s="295"/>
      <c r="E150" s="296" t="s">
        <v>257</v>
      </c>
      <c r="F150" s="297"/>
      <c r="G150" s="297"/>
      <c r="H150" s="297"/>
      <c r="I150" s="297"/>
      <c r="J150" s="297"/>
      <c r="K150" s="297"/>
      <c r="L150" s="297"/>
      <c r="M150" s="282"/>
      <c r="N150" s="298" t="s">
        <v>211</v>
      </c>
      <c r="O150" s="268"/>
      <c r="P150" s="57"/>
      <c r="Q150" s="286"/>
      <c r="R150" s="268"/>
      <c r="S150" s="57"/>
      <c r="T150" s="292"/>
      <c r="U150" s="265"/>
      <c r="V150" s="299" t="s">
        <v>213</v>
      </c>
      <c r="W150" s="268"/>
      <c r="X150" s="268"/>
      <c r="Y150" s="268"/>
      <c r="Z150" s="268"/>
      <c r="AA150" s="57"/>
      <c r="AB150" s="300">
        <v>8.0</v>
      </c>
      <c r="AC150" s="273"/>
      <c r="AD150" s="273"/>
      <c r="AE150" s="270"/>
      <c r="AF150" s="37"/>
    </row>
    <row r="151">
      <c r="A151" s="37"/>
      <c r="B151" s="265"/>
      <c r="C151" s="301" t="s">
        <v>214</v>
      </c>
      <c r="D151" s="372">
        <v>45862.0</v>
      </c>
      <c r="E151" s="303" t="s">
        <v>215</v>
      </c>
      <c r="F151" s="22"/>
      <c r="G151" s="28"/>
      <c r="H151" s="304" t="s">
        <v>216</v>
      </c>
      <c r="I151" s="297"/>
      <c r="J151" s="282"/>
      <c r="K151" s="304" t="s">
        <v>217</v>
      </c>
      <c r="L151" s="297"/>
      <c r="M151" s="282"/>
      <c r="N151" s="304" t="s">
        <v>218</v>
      </c>
      <c r="O151" s="297"/>
      <c r="P151" s="282"/>
      <c r="Q151" s="304" t="s">
        <v>219</v>
      </c>
      <c r="R151" s="297"/>
      <c r="S151" s="282"/>
      <c r="T151" s="265"/>
      <c r="U151" s="265"/>
      <c r="V151" s="64"/>
      <c r="AA151" s="63"/>
      <c r="AE151" s="25"/>
      <c r="AF151" s="37"/>
    </row>
    <row r="152">
      <c r="A152" s="37"/>
      <c r="B152" s="305" t="s">
        <v>258</v>
      </c>
      <c r="C152" s="306" t="s">
        <v>221</v>
      </c>
      <c r="D152" s="306" t="s">
        <v>222</v>
      </c>
      <c r="E152" s="301" t="s">
        <v>223</v>
      </c>
      <c r="F152" s="301" t="s">
        <v>224</v>
      </c>
      <c r="G152" s="301" t="s">
        <v>66</v>
      </c>
      <c r="H152" s="301" t="s">
        <v>223</v>
      </c>
      <c r="I152" s="301" t="s">
        <v>224</v>
      </c>
      <c r="J152" s="301" t="s">
        <v>66</v>
      </c>
      <c r="K152" s="301" t="s">
        <v>223</v>
      </c>
      <c r="L152" s="301" t="s">
        <v>224</v>
      </c>
      <c r="M152" s="301" t="s">
        <v>66</v>
      </c>
      <c r="N152" s="301" t="s">
        <v>223</v>
      </c>
      <c r="O152" s="301" t="s">
        <v>224</v>
      </c>
      <c r="P152" s="301" t="s">
        <v>66</v>
      </c>
      <c r="Q152" s="301" t="s">
        <v>223</v>
      </c>
      <c r="R152" s="301" t="s">
        <v>224</v>
      </c>
      <c r="S152" s="301" t="s">
        <v>66</v>
      </c>
      <c r="T152" s="307" t="s">
        <v>225</v>
      </c>
      <c r="U152" s="265"/>
      <c r="V152" s="275"/>
      <c r="W152" s="276"/>
      <c r="X152" s="276"/>
      <c r="Y152" s="276"/>
      <c r="Z152" s="276"/>
      <c r="AA152" s="291"/>
      <c r="AB152" s="22"/>
      <c r="AC152" s="22"/>
      <c r="AD152" s="22"/>
      <c r="AE152" s="28"/>
      <c r="AF152" s="37"/>
    </row>
    <row r="153">
      <c r="A153" s="37"/>
      <c r="B153" s="308"/>
      <c r="C153" s="309">
        <v>1.0</v>
      </c>
      <c r="D153" s="373" t="s">
        <v>127</v>
      </c>
      <c r="E153" s="374">
        <v>15.0</v>
      </c>
      <c r="F153" s="375">
        <v>10.0</v>
      </c>
      <c r="G153" s="410"/>
      <c r="H153" s="374">
        <v>14.0</v>
      </c>
      <c r="I153" s="375">
        <v>10.0</v>
      </c>
      <c r="J153" s="317"/>
      <c r="K153" s="311"/>
      <c r="L153" s="312"/>
      <c r="M153" s="318"/>
      <c r="N153" s="315"/>
      <c r="O153" s="316"/>
      <c r="P153" s="317"/>
      <c r="Q153" s="318"/>
      <c r="R153" s="316"/>
      <c r="S153" s="318"/>
      <c r="T153" s="319">
        <f t="shared" ref="T153:T163" si="10">(E153*F153)+(H153*I153)+(K153*L153)+(N153*O153)+(Q153*R153)</f>
        <v>290</v>
      </c>
      <c r="U153" s="265"/>
      <c r="V153" s="320">
        <v>1.0</v>
      </c>
      <c r="W153" s="321">
        <v>2.0</v>
      </c>
      <c r="X153" s="322">
        <v>3.0</v>
      </c>
      <c r="Y153" s="323">
        <v>4.0</v>
      </c>
      <c r="Z153" s="324">
        <v>5.0</v>
      </c>
      <c r="AA153" s="325">
        <v>6.0</v>
      </c>
      <c r="AB153" s="326">
        <v>7.0</v>
      </c>
      <c r="AC153" s="327">
        <v>8.0</v>
      </c>
      <c r="AD153" s="328">
        <v>9.0</v>
      </c>
      <c r="AE153" s="329">
        <v>10.0</v>
      </c>
      <c r="AF153" s="37"/>
    </row>
    <row r="154">
      <c r="A154" s="37"/>
      <c r="B154" s="308"/>
      <c r="C154" s="330">
        <v>2.0</v>
      </c>
      <c r="D154" s="377" t="s">
        <v>178</v>
      </c>
      <c r="E154" s="378">
        <v>10.0</v>
      </c>
      <c r="F154" s="379">
        <v>20.0</v>
      </c>
      <c r="G154" s="390"/>
      <c r="H154" s="378">
        <v>10.0</v>
      </c>
      <c r="I154" s="379">
        <v>20.0</v>
      </c>
      <c r="J154" s="339"/>
      <c r="K154" s="332"/>
      <c r="L154" s="333"/>
      <c r="M154" s="336"/>
      <c r="N154" s="337"/>
      <c r="O154" s="338"/>
      <c r="P154" s="339"/>
      <c r="Q154" s="336"/>
      <c r="R154" s="338"/>
      <c r="S154" s="336"/>
      <c r="T154" s="319">
        <f t="shared" si="10"/>
        <v>400</v>
      </c>
      <c r="U154" s="265"/>
      <c r="V154" s="340" t="s">
        <v>227</v>
      </c>
      <c r="W154" s="268"/>
      <c r="X154" s="268"/>
      <c r="Y154" s="268"/>
      <c r="Z154" s="268"/>
      <c r="AA154" s="57"/>
      <c r="AB154" s="300">
        <v>6.0</v>
      </c>
      <c r="AC154" s="273"/>
      <c r="AD154" s="273"/>
      <c r="AE154" s="270"/>
      <c r="AF154" s="37"/>
    </row>
    <row r="155">
      <c r="A155" s="37"/>
      <c r="B155" s="308"/>
      <c r="C155" s="309">
        <v>3.0</v>
      </c>
      <c r="D155" s="382" t="s">
        <v>179</v>
      </c>
      <c r="E155" s="374">
        <v>8.0</v>
      </c>
      <c r="F155" s="383">
        <v>30.0</v>
      </c>
      <c r="G155" s="410"/>
      <c r="H155" s="374">
        <v>8.0</v>
      </c>
      <c r="I155" s="383">
        <v>25.0</v>
      </c>
      <c r="J155" s="344"/>
      <c r="K155" s="311"/>
      <c r="L155" s="342"/>
      <c r="M155" s="318"/>
      <c r="N155" s="345"/>
      <c r="O155" s="346"/>
      <c r="P155" s="344"/>
      <c r="Q155" s="318"/>
      <c r="R155" s="346"/>
      <c r="S155" s="318"/>
      <c r="T155" s="319">
        <f t="shared" si="10"/>
        <v>440</v>
      </c>
      <c r="U155" s="265"/>
      <c r="V155" s="64"/>
      <c r="AA155" s="63"/>
      <c r="AE155" s="25"/>
      <c r="AF155" s="37"/>
    </row>
    <row r="156">
      <c r="A156" s="37"/>
      <c r="B156" s="308"/>
      <c r="C156" s="330">
        <v>4.0</v>
      </c>
      <c r="D156" s="377" t="s">
        <v>180</v>
      </c>
      <c r="E156" s="378">
        <v>10.0</v>
      </c>
      <c r="F156" s="379">
        <v>30.0</v>
      </c>
      <c r="G156" s="390"/>
      <c r="H156" s="378">
        <v>10.0</v>
      </c>
      <c r="I156" s="379">
        <v>30.0</v>
      </c>
      <c r="J156" s="339"/>
      <c r="K156" s="332"/>
      <c r="L156" s="333"/>
      <c r="M156" s="336"/>
      <c r="N156" s="337"/>
      <c r="O156" s="338"/>
      <c r="P156" s="339"/>
      <c r="Q156" s="336"/>
      <c r="R156" s="338"/>
      <c r="S156" s="336"/>
      <c r="T156" s="319">
        <f t="shared" si="10"/>
        <v>600</v>
      </c>
      <c r="U156" s="265"/>
      <c r="V156" s="275"/>
      <c r="W156" s="276"/>
      <c r="X156" s="276"/>
      <c r="Y156" s="276"/>
      <c r="Z156" s="276"/>
      <c r="AA156" s="291"/>
      <c r="AB156" s="22"/>
      <c r="AC156" s="22"/>
      <c r="AD156" s="22"/>
      <c r="AE156" s="28"/>
      <c r="AF156" s="37"/>
    </row>
    <row r="157">
      <c r="A157" s="37"/>
      <c r="B157" s="308"/>
      <c r="C157" s="309">
        <v>5.0</v>
      </c>
      <c r="D157" s="382" t="s">
        <v>141</v>
      </c>
      <c r="E157" s="374">
        <v>10.0</v>
      </c>
      <c r="F157" s="383">
        <v>15.0</v>
      </c>
      <c r="G157" s="410"/>
      <c r="H157" s="374">
        <v>10.0</v>
      </c>
      <c r="I157" s="383">
        <v>15.0</v>
      </c>
      <c r="J157" s="344"/>
      <c r="K157" s="311"/>
      <c r="L157" s="342"/>
      <c r="M157" s="318"/>
      <c r="N157" s="345"/>
      <c r="O157" s="346"/>
      <c r="P157" s="344"/>
      <c r="Q157" s="318"/>
      <c r="R157" s="346"/>
      <c r="S157" s="318"/>
      <c r="T157" s="319">
        <f t="shared" si="10"/>
        <v>300</v>
      </c>
      <c r="U157" s="265"/>
      <c r="V157" s="347">
        <v>1.0</v>
      </c>
      <c r="W157" s="348">
        <v>2.0</v>
      </c>
      <c r="X157" s="349">
        <v>3.0</v>
      </c>
      <c r="Y157" s="350">
        <v>4.0</v>
      </c>
      <c r="Z157" s="351">
        <v>5.0</v>
      </c>
      <c r="AA157" s="352">
        <v>6.0</v>
      </c>
      <c r="AB157" s="353">
        <v>7.0</v>
      </c>
      <c r="AC157" s="354">
        <v>8.0</v>
      </c>
      <c r="AD157" s="355">
        <v>9.0</v>
      </c>
      <c r="AE157" s="356">
        <v>10.0</v>
      </c>
      <c r="AF157" s="37"/>
    </row>
    <row r="158">
      <c r="A158" s="37"/>
      <c r="B158" s="308"/>
      <c r="C158" s="330">
        <v>6.0</v>
      </c>
      <c r="D158" s="331" t="s">
        <v>139</v>
      </c>
      <c r="E158" s="378">
        <v>12.0</v>
      </c>
      <c r="F158" s="379">
        <v>35.0</v>
      </c>
      <c r="G158" s="390"/>
      <c r="H158" s="378">
        <v>12.0</v>
      </c>
      <c r="I158" s="379">
        <v>35.0</v>
      </c>
      <c r="J158" s="335"/>
      <c r="K158" s="332"/>
      <c r="L158" s="333"/>
      <c r="M158" s="336"/>
      <c r="N158" s="337"/>
      <c r="O158" s="338"/>
      <c r="P158" s="339"/>
      <c r="Q158" s="336"/>
      <c r="R158" s="338"/>
      <c r="S158" s="336"/>
      <c r="T158" s="319">
        <f t="shared" si="10"/>
        <v>840</v>
      </c>
      <c r="U158" s="265"/>
      <c r="V158" s="293"/>
      <c r="W158" s="293"/>
      <c r="X158" s="293"/>
      <c r="Y158" s="293"/>
      <c r="Z158" s="293"/>
      <c r="AA158" s="293"/>
      <c r="AB158" s="293"/>
      <c r="AC158" s="293"/>
      <c r="AD158" s="293"/>
      <c r="AE158" s="293"/>
      <c r="AF158" s="37"/>
    </row>
    <row r="159">
      <c r="A159" s="37"/>
      <c r="B159" s="308"/>
      <c r="C159" s="309">
        <v>7.0</v>
      </c>
      <c r="D159" s="382" t="s">
        <v>88</v>
      </c>
      <c r="E159" s="374">
        <v>12.0</v>
      </c>
      <c r="F159" s="383">
        <v>8.0</v>
      </c>
      <c r="G159" s="346"/>
      <c r="H159" s="374">
        <v>12.0</v>
      </c>
      <c r="I159" s="383">
        <v>8.0</v>
      </c>
      <c r="J159" s="344"/>
      <c r="K159" s="311"/>
      <c r="L159" s="342"/>
      <c r="M159" s="318"/>
      <c r="N159" s="345"/>
      <c r="O159" s="346"/>
      <c r="P159" s="344"/>
      <c r="Q159" s="318"/>
      <c r="R159" s="346"/>
      <c r="S159" s="318"/>
      <c r="T159" s="319">
        <f t="shared" si="10"/>
        <v>192</v>
      </c>
      <c r="U159" s="265"/>
      <c r="V159" s="357" t="s">
        <v>231</v>
      </c>
      <c r="W159" s="268"/>
      <c r="X159" s="268"/>
      <c r="Y159" s="268"/>
      <c r="Z159" s="268"/>
      <c r="AA159" s="268"/>
      <c r="AB159" s="268"/>
      <c r="AC159" s="268"/>
      <c r="AD159" s="268"/>
      <c r="AE159" s="57"/>
      <c r="AF159" s="37"/>
    </row>
    <row r="160">
      <c r="A160" s="37"/>
      <c r="B160" s="308"/>
      <c r="C160" s="330">
        <v>8.0</v>
      </c>
      <c r="D160" s="358"/>
      <c r="E160" s="336"/>
      <c r="F160" s="338"/>
      <c r="G160" s="336"/>
      <c r="H160" s="337"/>
      <c r="I160" s="338"/>
      <c r="J160" s="339"/>
      <c r="K160" s="336"/>
      <c r="L160" s="338"/>
      <c r="M160" s="336"/>
      <c r="N160" s="337"/>
      <c r="O160" s="338"/>
      <c r="P160" s="339"/>
      <c r="Q160" s="336"/>
      <c r="R160" s="338"/>
      <c r="S160" s="336"/>
      <c r="T160" s="319">
        <f t="shared" si="10"/>
        <v>0</v>
      </c>
      <c r="U160" s="265"/>
      <c r="V160" s="370"/>
      <c r="W160" s="273"/>
      <c r="X160" s="273"/>
      <c r="Y160" s="273"/>
      <c r="Z160" s="273"/>
      <c r="AA160" s="273"/>
      <c r="AB160" s="273"/>
      <c r="AC160" s="273"/>
      <c r="AD160" s="273"/>
      <c r="AE160" s="270"/>
      <c r="AF160" s="37"/>
    </row>
    <row r="161">
      <c r="A161" s="37"/>
      <c r="B161" s="308"/>
      <c r="C161" s="309">
        <v>9.0</v>
      </c>
      <c r="D161" s="360"/>
      <c r="E161" s="318"/>
      <c r="F161" s="346"/>
      <c r="G161" s="318"/>
      <c r="H161" s="345"/>
      <c r="I161" s="346"/>
      <c r="J161" s="344"/>
      <c r="K161" s="318"/>
      <c r="L161" s="346"/>
      <c r="M161" s="318"/>
      <c r="N161" s="345"/>
      <c r="O161" s="346"/>
      <c r="P161" s="344"/>
      <c r="Q161" s="318"/>
      <c r="R161" s="346"/>
      <c r="S161" s="318"/>
      <c r="T161" s="319">
        <f t="shared" si="10"/>
        <v>0</v>
      </c>
      <c r="U161" s="265"/>
      <c r="V161" s="90"/>
      <c r="AE161" s="25"/>
      <c r="AF161" s="37"/>
    </row>
    <row r="162">
      <c r="A162" s="37"/>
      <c r="B162" s="308"/>
      <c r="C162" s="330">
        <v>10.0</v>
      </c>
      <c r="D162" s="358"/>
      <c r="E162" s="336"/>
      <c r="F162" s="338"/>
      <c r="G162" s="336"/>
      <c r="H162" s="337"/>
      <c r="I162" s="338"/>
      <c r="J162" s="339"/>
      <c r="K162" s="336"/>
      <c r="L162" s="338"/>
      <c r="M162" s="336"/>
      <c r="N162" s="337"/>
      <c r="O162" s="338"/>
      <c r="P162" s="339"/>
      <c r="Q162" s="336"/>
      <c r="R162" s="338"/>
      <c r="S162" s="336"/>
      <c r="T162" s="319">
        <f t="shared" si="10"/>
        <v>0</v>
      </c>
      <c r="U162" s="265"/>
      <c r="V162" s="90"/>
      <c r="AE162" s="25"/>
      <c r="AF162" s="37"/>
    </row>
    <row r="163">
      <c r="A163" s="37"/>
      <c r="B163" s="361"/>
      <c r="C163" s="362">
        <v>11.0</v>
      </c>
      <c r="D163" s="363"/>
      <c r="E163" s="364"/>
      <c r="F163" s="365"/>
      <c r="G163" s="364"/>
      <c r="H163" s="366"/>
      <c r="I163" s="365"/>
      <c r="J163" s="367"/>
      <c r="K163" s="364"/>
      <c r="L163" s="365"/>
      <c r="M163" s="364"/>
      <c r="N163" s="366"/>
      <c r="O163" s="365"/>
      <c r="P163" s="367"/>
      <c r="Q163" s="364"/>
      <c r="R163" s="365"/>
      <c r="S163" s="364"/>
      <c r="T163" s="319">
        <f t="shared" si="10"/>
        <v>0</v>
      </c>
      <c r="U163" s="265"/>
      <c r="V163" s="27"/>
      <c r="W163" s="22"/>
      <c r="X163" s="22"/>
      <c r="Y163" s="22"/>
      <c r="Z163" s="22"/>
      <c r="AA163" s="22"/>
      <c r="AB163" s="22"/>
      <c r="AC163" s="22"/>
      <c r="AD163" s="22"/>
      <c r="AE163" s="28"/>
      <c r="AF163" s="37"/>
    </row>
    <row r="164">
      <c r="A164" s="37"/>
      <c r="B164" s="368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93"/>
      <c r="W164" s="293"/>
      <c r="X164" s="293"/>
      <c r="Y164" s="293"/>
      <c r="Z164" s="293"/>
      <c r="AA164" s="293"/>
      <c r="AB164" s="293"/>
      <c r="AC164" s="293"/>
      <c r="AD164" s="293"/>
      <c r="AE164" s="293"/>
      <c r="AF164" s="37"/>
    </row>
    <row r="165">
      <c r="A165" s="37"/>
      <c r="B165" s="265"/>
      <c r="C165" s="294" t="s">
        <v>209</v>
      </c>
      <c r="D165" s="295"/>
      <c r="E165" s="296" t="s">
        <v>244</v>
      </c>
      <c r="F165" s="297"/>
      <c r="G165" s="297"/>
      <c r="H165" s="297"/>
      <c r="I165" s="297"/>
      <c r="J165" s="297"/>
      <c r="K165" s="297"/>
      <c r="L165" s="297"/>
      <c r="M165" s="282"/>
      <c r="N165" s="298" t="s">
        <v>211</v>
      </c>
      <c r="O165" s="268"/>
      <c r="P165" s="57"/>
      <c r="Q165" s="286" t="s">
        <v>212</v>
      </c>
      <c r="R165" s="268"/>
      <c r="S165" s="57"/>
      <c r="T165" s="292"/>
      <c r="U165" s="265"/>
      <c r="V165" s="299" t="s">
        <v>213</v>
      </c>
      <c r="W165" s="268"/>
      <c r="X165" s="268"/>
      <c r="Y165" s="268"/>
      <c r="Z165" s="268"/>
      <c r="AA165" s="57"/>
      <c r="AB165" s="300"/>
      <c r="AC165" s="273"/>
      <c r="AD165" s="273"/>
      <c r="AE165" s="270"/>
      <c r="AF165" s="37"/>
    </row>
    <row r="166">
      <c r="A166" s="37"/>
      <c r="B166" s="265"/>
      <c r="C166" s="301" t="s">
        <v>214</v>
      </c>
      <c r="D166" s="372">
        <v>45863.0</v>
      </c>
      <c r="E166" s="303" t="s">
        <v>215</v>
      </c>
      <c r="F166" s="22"/>
      <c r="G166" s="28"/>
      <c r="H166" s="304" t="s">
        <v>216</v>
      </c>
      <c r="I166" s="297"/>
      <c r="J166" s="282"/>
      <c r="K166" s="304" t="s">
        <v>217</v>
      </c>
      <c r="L166" s="297"/>
      <c r="M166" s="282"/>
      <c r="N166" s="304" t="s">
        <v>218</v>
      </c>
      <c r="O166" s="297"/>
      <c r="P166" s="282"/>
      <c r="Q166" s="304" t="s">
        <v>219</v>
      </c>
      <c r="R166" s="297"/>
      <c r="S166" s="282"/>
      <c r="T166" s="265"/>
      <c r="U166" s="265"/>
      <c r="V166" s="64"/>
      <c r="AA166" s="63"/>
      <c r="AE166" s="25"/>
      <c r="AF166" s="37"/>
    </row>
    <row r="167">
      <c r="A167" s="37"/>
      <c r="B167" s="305" t="s">
        <v>259</v>
      </c>
      <c r="C167" s="306" t="s">
        <v>221</v>
      </c>
      <c r="D167" s="306" t="s">
        <v>222</v>
      </c>
      <c r="E167" s="301" t="s">
        <v>223</v>
      </c>
      <c r="F167" s="301" t="s">
        <v>224</v>
      </c>
      <c r="G167" s="301" t="s">
        <v>66</v>
      </c>
      <c r="H167" s="301" t="s">
        <v>223</v>
      </c>
      <c r="I167" s="301" t="s">
        <v>224</v>
      </c>
      <c r="J167" s="301" t="s">
        <v>66</v>
      </c>
      <c r="K167" s="301" t="s">
        <v>223</v>
      </c>
      <c r="L167" s="301" t="s">
        <v>224</v>
      </c>
      <c r="M167" s="301" t="s">
        <v>66</v>
      </c>
      <c r="N167" s="301" t="s">
        <v>223</v>
      </c>
      <c r="O167" s="301" t="s">
        <v>224</v>
      </c>
      <c r="P167" s="301" t="s">
        <v>66</v>
      </c>
      <c r="Q167" s="301" t="s">
        <v>223</v>
      </c>
      <c r="R167" s="301" t="s">
        <v>224</v>
      </c>
      <c r="S167" s="301" t="s">
        <v>66</v>
      </c>
      <c r="T167" s="307" t="s">
        <v>225</v>
      </c>
      <c r="U167" s="265"/>
      <c r="V167" s="275"/>
      <c r="W167" s="276"/>
      <c r="X167" s="276"/>
      <c r="Y167" s="276"/>
      <c r="Z167" s="276"/>
      <c r="AA167" s="291"/>
      <c r="AB167" s="22"/>
      <c r="AC167" s="22"/>
      <c r="AD167" s="22"/>
      <c r="AE167" s="28"/>
      <c r="AF167" s="37"/>
    </row>
    <row r="168">
      <c r="A168" s="37"/>
      <c r="B168" s="308"/>
      <c r="C168" s="309">
        <v>1.0</v>
      </c>
      <c r="D168" s="373" t="s">
        <v>167</v>
      </c>
      <c r="E168" s="374">
        <v>12.0</v>
      </c>
      <c r="F168" s="375">
        <v>45.0</v>
      </c>
      <c r="G168" s="384"/>
      <c r="H168" s="376">
        <v>27.0</v>
      </c>
      <c r="I168" s="375">
        <v>45.0</v>
      </c>
      <c r="J168" s="317"/>
      <c r="K168" s="311"/>
      <c r="L168" s="312"/>
      <c r="M168" s="318"/>
      <c r="N168" s="315"/>
      <c r="O168" s="316"/>
      <c r="P168" s="317"/>
      <c r="Q168" s="318"/>
      <c r="R168" s="316"/>
      <c r="S168" s="318"/>
      <c r="T168" s="319">
        <f t="shared" ref="T168:T178" si="11">(E168*F168)+(H168*I168)+(K168*L168)+(N168*O168)+(Q168*R168)</f>
        <v>1755</v>
      </c>
      <c r="U168" s="265"/>
      <c r="V168" s="320">
        <v>1.0</v>
      </c>
      <c r="W168" s="321">
        <v>2.0</v>
      </c>
      <c r="X168" s="322">
        <v>3.0</v>
      </c>
      <c r="Y168" s="323">
        <v>4.0</v>
      </c>
      <c r="Z168" s="324">
        <v>5.0</v>
      </c>
      <c r="AA168" s="325">
        <v>6.0</v>
      </c>
      <c r="AB168" s="326">
        <v>7.0</v>
      </c>
      <c r="AC168" s="327">
        <v>8.0</v>
      </c>
      <c r="AD168" s="328">
        <v>9.0</v>
      </c>
      <c r="AE168" s="329">
        <v>10.0</v>
      </c>
      <c r="AF168" s="37"/>
    </row>
    <row r="169">
      <c r="A169" s="37"/>
      <c r="B169" s="308"/>
      <c r="C169" s="330">
        <v>2.0</v>
      </c>
      <c r="D169" s="377" t="s">
        <v>189</v>
      </c>
      <c r="E169" s="378">
        <v>9.0</v>
      </c>
      <c r="F169" s="379">
        <v>30.0</v>
      </c>
      <c r="G169" s="380"/>
      <c r="H169" s="381">
        <v>18.0</v>
      </c>
      <c r="I169" s="379">
        <v>30.0</v>
      </c>
      <c r="J169" s="339"/>
      <c r="K169" s="332"/>
      <c r="L169" s="333"/>
      <c r="M169" s="336"/>
      <c r="N169" s="337"/>
      <c r="O169" s="338"/>
      <c r="P169" s="339"/>
      <c r="Q169" s="336"/>
      <c r="R169" s="338"/>
      <c r="S169" s="336"/>
      <c r="T169" s="319">
        <f t="shared" si="11"/>
        <v>810</v>
      </c>
      <c r="U169" s="265"/>
      <c r="V169" s="340" t="s">
        <v>227</v>
      </c>
      <c r="W169" s="268"/>
      <c r="X169" s="268"/>
      <c r="Y169" s="268"/>
      <c r="Z169" s="268"/>
      <c r="AA169" s="57"/>
      <c r="AB169" s="300"/>
      <c r="AC169" s="273"/>
      <c r="AD169" s="273"/>
      <c r="AE169" s="270"/>
      <c r="AF169" s="37"/>
    </row>
    <row r="170">
      <c r="A170" s="37"/>
      <c r="B170" s="308"/>
      <c r="C170" s="309">
        <v>3.0</v>
      </c>
      <c r="D170" s="382" t="s">
        <v>190</v>
      </c>
      <c r="E170" s="374">
        <v>13.0</v>
      </c>
      <c r="F170" s="383">
        <v>40.0</v>
      </c>
      <c r="G170" s="384"/>
      <c r="H170" s="385" t="s">
        <v>260</v>
      </c>
      <c r="I170" s="383">
        <v>40.0</v>
      </c>
      <c r="J170" s="344"/>
      <c r="K170" s="311"/>
      <c r="L170" s="342"/>
      <c r="M170" s="318"/>
      <c r="N170" s="345"/>
      <c r="O170" s="346"/>
      <c r="P170" s="344"/>
      <c r="Q170" s="318"/>
      <c r="R170" s="346"/>
      <c r="S170" s="318"/>
      <c r="T170" s="319" t="str">
        <f t="shared" si="11"/>
        <v>#VALUE!</v>
      </c>
      <c r="U170" s="265"/>
      <c r="V170" s="64"/>
      <c r="AA170" s="63"/>
      <c r="AE170" s="25"/>
      <c r="AF170" s="37"/>
    </row>
    <row r="171">
      <c r="A171" s="37"/>
      <c r="B171" s="308"/>
      <c r="C171" s="330">
        <v>4.0</v>
      </c>
      <c r="D171" s="377" t="s">
        <v>191</v>
      </c>
      <c r="E171" s="411">
        <v>45573.0</v>
      </c>
      <c r="F171" s="390"/>
      <c r="G171" s="380"/>
      <c r="H171" s="412">
        <v>45573.0</v>
      </c>
      <c r="I171" s="379"/>
      <c r="J171" s="339"/>
      <c r="K171" s="332"/>
      <c r="L171" s="333"/>
      <c r="M171" s="336"/>
      <c r="N171" s="337"/>
      <c r="O171" s="338"/>
      <c r="P171" s="339"/>
      <c r="Q171" s="336"/>
      <c r="R171" s="338"/>
      <c r="S171" s="336"/>
      <c r="T171" s="319">
        <f t="shared" si="11"/>
        <v>0</v>
      </c>
      <c r="U171" s="265"/>
      <c r="V171" s="275"/>
      <c r="W171" s="276"/>
      <c r="X171" s="276"/>
      <c r="Y171" s="276"/>
      <c r="Z171" s="276"/>
      <c r="AA171" s="291"/>
      <c r="AB171" s="22"/>
      <c r="AC171" s="22"/>
      <c r="AD171" s="22"/>
      <c r="AE171" s="28"/>
      <c r="AF171" s="37"/>
    </row>
    <row r="172">
      <c r="A172" s="37"/>
      <c r="B172" s="308"/>
      <c r="C172" s="309">
        <v>5.0</v>
      </c>
      <c r="D172" s="382" t="s">
        <v>192</v>
      </c>
      <c r="E172" s="374">
        <v>8.0</v>
      </c>
      <c r="F172" s="383">
        <v>40.0</v>
      </c>
      <c r="G172" s="384"/>
      <c r="H172" s="385">
        <v>8.0</v>
      </c>
      <c r="I172" s="383">
        <v>40.0</v>
      </c>
      <c r="J172" s="344"/>
      <c r="K172" s="311"/>
      <c r="L172" s="342"/>
      <c r="M172" s="318"/>
      <c r="N172" s="343"/>
      <c r="O172" s="342"/>
      <c r="P172" s="344"/>
      <c r="Q172" s="318"/>
      <c r="R172" s="346"/>
      <c r="S172" s="318"/>
      <c r="T172" s="319">
        <f t="shared" si="11"/>
        <v>640</v>
      </c>
      <c r="U172" s="265"/>
      <c r="V172" s="347">
        <v>1.0</v>
      </c>
      <c r="W172" s="348">
        <v>2.0</v>
      </c>
      <c r="X172" s="349">
        <v>3.0</v>
      </c>
      <c r="Y172" s="350">
        <v>4.0</v>
      </c>
      <c r="Z172" s="351">
        <v>5.0</v>
      </c>
      <c r="AA172" s="352">
        <v>6.0</v>
      </c>
      <c r="AB172" s="353">
        <v>7.0</v>
      </c>
      <c r="AC172" s="354">
        <v>8.0</v>
      </c>
      <c r="AD172" s="355">
        <v>9.0</v>
      </c>
      <c r="AE172" s="356">
        <v>10.0</v>
      </c>
      <c r="AF172" s="37"/>
    </row>
    <row r="173">
      <c r="A173" s="37"/>
      <c r="B173" s="308"/>
      <c r="C173" s="330">
        <v>6.0</v>
      </c>
      <c r="D173" s="331" t="s">
        <v>115</v>
      </c>
      <c r="E173" s="378">
        <v>22.0</v>
      </c>
      <c r="F173" s="379">
        <v>80.0</v>
      </c>
      <c r="G173" s="380"/>
      <c r="H173" s="381">
        <v>18.0</v>
      </c>
      <c r="I173" s="379">
        <v>80.0</v>
      </c>
      <c r="J173" s="339"/>
      <c r="K173" s="332"/>
      <c r="L173" s="333"/>
      <c r="M173" s="336"/>
      <c r="N173" s="337"/>
      <c r="O173" s="338"/>
      <c r="P173" s="339"/>
      <c r="Q173" s="336"/>
      <c r="R173" s="338"/>
      <c r="S173" s="336"/>
      <c r="T173" s="319">
        <f t="shared" si="11"/>
        <v>3200</v>
      </c>
      <c r="U173" s="265"/>
      <c r="V173" s="293"/>
      <c r="W173" s="293"/>
      <c r="X173" s="293"/>
      <c r="Y173" s="293"/>
      <c r="Z173" s="293"/>
      <c r="AA173" s="293"/>
      <c r="AB173" s="293"/>
      <c r="AC173" s="293"/>
      <c r="AD173" s="293"/>
      <c r="AE173" s="293"/>
      <c r="AF173" s="37"/>
    </row>
    <row r="174">
      <c r="A174" s="37"/>
      <c r="B174" s="308"/>
      <c r="C174" s="309">
        <v>7.0</v>
      </c>
      <c r="D174" s="382"/>
      <c r="E174" s="318"/>
      <c r="F174" s="346"/>
      <c r="G174" s="318"/>
      <c r="H174" s="345"/>
      <c r="I174" s="346"/>
      <c r="J174" s="344"/>
      <c r="K174" s="318"/>
      <c r="L174" s="346"/>
      <c r="M174" s="318"/>
      <c r="N174" s="345"/>
      <c r="O174" s="346"/>
      <c r="P174" s="344"/>
      <c r="Q174" s="318"/>
      <c r="R174" s="346"/>
      <c r="S174" s="318"/>
      <c r="T174" s="319">
        <f t="shared" si="11"/>
        <v>0</v>
      </c>
      <c r="U174" s="265"/>
      <c r="V174" s="357" t="s">
        <v>231</v>
      </c>
      <c r="W174" s="268"/>
      <c r="X174" s="268"/>
      <c r="Y174" s="268"/>
      <c r="Z174" s="268"/>
      <c r="AA174" s="268"/>
      <c r="AB174" s="268"/>
      <c r="AC174" s="268"/>
      <c r="AD174" s="268"/>
      <c r="AE174" s="57"/>
      <c r="AF174" s="37"/>
    </row>
    <row r="175">
      <c r="A175" s="37"/>
      <c r="B175" s="308"/>
      <c r="C175" s="330">
        <v>8.0</v>
      </c>
      <c r="D175" s="358"/>
      <c r="E175" s="336"/>
      <c r="F175" s="338"/>
      <c r="G175" s="336"/>
      <c r="H175" s="337"/>
      <c r="I175" s="338"/>
      <c r="J175" s="339"/>
      <c r="K175" s="336"/>
      <c r="L175" s="338"/>
      <c r="M175" s="336"/>
      <c r="N175" s="337"/>
      <c r="O175" s="338"/>
      <c r="P175" s="339"/>
      <c r="Q175" s="336"/>
      <c r="R175" s="338"/>
      <c r="S175" s="336"/>
      <c r="T175" s="319">
        <f t="shared" si="11"/>
        <v>0</v>
      </c>
      <c r="U175" s="265"/>
      <c r="V175" s="359"/>
      <c r="W175" s="273"/>
      <c r="X175" s="273"/>
      <c r="Y175" s="273"/>
      <c r="Z175" s="273"/>
      <c r="AA175" s="273"/>
      <c r="AB175" s="273"/>
      <c r="AC175" s="273"/>
      <c r="AD175" s="273"/>
      <c r="AE175" s="270"/>
      <c r="AF175" s="37"/>
    </row>
    <row r="176">
      <c r="A176" s="37"/>
      <c r="B176" s="308"/>
      <c r="C176" s="309">
        <v>9.0</v>
      </c>
      <c r="D176" s="360"/>
      <c r="E176" s="318"/>
      <c r="F176" s="346"/>
      <c r="G176" s="318"/>
      <c r="H176" s="345"/>
      <c r="I176" s="346"/>
      <c r="J176" s="344"/>
      <c r="K176" s="318"/>
      <c r="L176" s="346"/>
      <c r="M176" s="318"/>
      <c r="N176" s="345"/>
      <c r="O176" s="346"/>
      <c r="P176" s="344"/>
      <c r="Q176" s="318"/>
      <c r="R176" s="346"/>
      <c r="S176" s="318"/>
      <c r="T176" s="319">
        <f t="shared" si="11"/>
        <v>0</v>
      </c>
      <c r="U176" s="265"/>
      <c r="V176" s="90"/>
      <c r="AE176" s="25"/>
      <c r="AF176" s="37"/>
    </row>
    <row r="177">
      <c r="A177" s="37"/>
      <c r="B177" s="308"/>
      <c r="C177" s="330">
        <v>10.0</v>
      </c>
      <c r="D177" s="358"/>
      <c r="E177" s="336"/>
      <c r="F177" s="338"/>
      <c r="G177" s="336"/>
      <c r="H177" s="337"/>
      <c r="I177" s="338"/>
      <c r="J177" s="339"/>
      <c r="K177" s="336"/>
      <c r="L177" s="338"/>
      <c r="M177" s="336"/>
      <c r="N177" s="337"/>
      <c r="O177" s="338"/>
      <c r="P177" s="339"/>
      <c r="Q177" s="336"/>
      <c r="R177" s="338"/>
      <c r="S177" s="336"/>
      <c r="T177" s="319">
        <f t="shared" si="11"/>
        <v>0</v>
      </c>
      <c r="U177" s="265"/>
      <c r="V177" s="90"/>
      <c r="AE177" s="25"/>
      <c r="AF177" s="37"/>
    </row>
    <row r="178">
      <c r="A178" s="37"/>
      <c r="B178" s="361"/>
      <c r="C178" s="362">
        <v>11.0</v>
      </c>
      <c r="D178" s="363"/>
      <c r="E178" s="364"/>
      <c r="F178" s="365"/>
      <c r="G178" s="364"/>
      <c r="H178" s="366"/>
      <c r="I178" s="365"/>
      <c r="J178" s="367"/>
      <c r="K178" s="364"/>
      <c r="L178" s="365"/>
      <c r="M178" s="364"/>
      <c r="N178" s="366"/>
      <c r="O178" s="365"/>
      <c r="P178" s="367"/>
      <c r="Q178" s="364"/>
      <c r="R178" s="365"/>
      <c r="S178" s="364"/>
      <c r="T178" s="319">
        <f t="shared" si="11"/>
        <v>0</v>
      </c>
      <c r="U178" s="265"/>
      <c r="V178" s="27"/>
      <c r="W178" s="22"/>
      <c r="X178" s="22"/>
      <c r="Y178" s="22"/>
      <c r="Z178" s="22"/>
      <c r="AA178" s="22"/>
      <c r="AB178" s="22"/>
      <c r="AC178" s="22"/>
      <c r="AD178" s="22"/>
      <c r="AE178" s="28"/>
      <c r="AF178" s="37"/>
    </row>
    <row r="179">
      <c r="A179" s="37"/>
      <c r="B179" s="368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92"/>
      <c r="R179" s="265"/>
      <c r="S179" s="265"/>
      <c r="T179" s="265"/>
      <c r="U179" s="265"/>
      <c r="V179" s="293"/>
      <c r="W179" s="293"/>
      <c r="X179" s="293"/>
      <c r="Y179" s="293"/>
      <c r="Z179" s="293"/>
      <c r="AA179" s="371"/>
      <c r="AB179" s="293"/>
      <c r="AC179" s="293"/>
      <c r="AD179" s="293"/>
      <c r="AE179" s="293"/>
      <c r="AF179" s="37"/>
    </row>
    <row r="180">
      <c r="A180" s="37"/>
      <c r="B180" s="265"/>
      <c r="C180" s="294" t="s">
        <v>209</v>
      </c>
      <c r="D180" s="295"/>
      <c r="E180" s="296" t="s">
        <v>241</v>
      </c>
      <c r="F180" s="297"/>
      <c r="G180" s="297"/>
      <c r="H180" s="297"/>
      <c r="I180" s="297"/>
      <c r="J180" s="297"/>
      <c r="K180" s="297"/>
      <c r="L180" s="297"/>
      <c r="M180" s="282"/>
      <c r="N180" s="298" t="s">
        <v>211</v>
      </c>
      <c r="O180" s="268"/>
      <c r="P180" s="57"/>
      <c r="Q180" s="286" t="s">
        <v>212</v>
      </c>
      <c r="R180" s="268"/>
      <c r="S180" s="57"/>
      <c r="T180" s="292"/>
      <c r="U180" s="265"/>
      <c r="V180" s="299" t="s">
        <v>213</v>
      </c>
      <c r="W180" s="268"/>
      <c r="X180" s="268"/>
      <c r="Y180" s="268"/>
      <c r="Z180" s="268"/>
      <c r="AA180" s="57"/>
      <c r="AB180" s="300"/>
      <c r="AC180" s="273"/>
      <c r="AD180" s="273"/>
      <c r="AE180" s="270"/>
      <c r="AF180" s="37"/>
    </row>
    <row r="181">
      <c r="A181" s="37"/>
      <c r="B181" s="265"/>
      <c r="C181" s="301" t="s">
        <v>214</v>
      </c>
      <c r="D181" s="372">
        <v>45865.0</v>
      </c>
      <c r="E181" s="303" t="s">
        <v>215</v>
      </c>
      <c r="F181" s="22"/>
      <c r="G181" s="28"/>
      <c r="H181" s="304" t="s">
        <v>216</v>
      </c>
      <c r="I181" s="297"/>
      <c r="J181" s="282"/>
      <c r="K181" s="304" t="s">
        <v>217</v>
      </c>
      <c r="L181" s="297"/>
      <c r="M181" s="282"/>
      <c r="N181" s="304" t="s">
        <v>218</v>
      </c>
      <c r="O181" s="297"/>
      <c r="P181" s="282"/>
      <c r="Q181" s="304" t="s">
        <v>219</v>
      </c>
      <c r="R181" s="297"/>
      <c r="S181" s="282"/>
      <c r="T181" s="265"/>
      <c r="U181" s="265"/>
      <c r="V181" s="64"/>
      <c r="AA181" s="63"/>
      <c r="AE181" s="25"/>
      <c r="AF181" s="37"/>
    </row>
    <row r="182">
      <c r="A182" s="37"/>
      <c r="B182" s="305" t="s">
        <v>261</v>
      </c>
      <c r="C182" s="306" t="s">
        <v>221</v>
      </c>
      <c r="D182" s="306" t="s">
        <v>222</v>
      </c>
      <c r="E182" s="301" t="s">
        <v>223</v>
      </c>
      <c r="F182" s="301" t="s">
        <v>224</v>
      </c>
      <c r="G182" s="301" t="s">
        <v>66</v>
      </c>
      <c r="H182" s="301" t="s">
        <v>223</v>
      </c>
      <c r="I182" s="301" t="s">
        <v>224</v>
      </c>
      <c r="J182" s="301" t="s">
        <v>66</v>
      </c>
      <c r="K182" s="301" t="s">
        <v>223</v>
      </c>
      <c r="L182" s="301" t="s">
        <v>224</v>
      </c>
      <c r="M182" s="301" t="s">
        <v>66</v>
      </c>
      <c r="N182" s="301" t="s">
        <v>223</v>
      </c>
      <c r="O182" s="301" t="s">
        <v>224</v>
      </c>
      <c r="P182" s="301" t="s">
        <v>66</v>
      </c>
      <c r="Q182" s="301" t="s">
        <v>223</v>
      </c>
      <c r="R182" s="301" t="s">
        <v>224</v>
      </c>
      <c r="S182" s="301" t="s">
        <v>66</v>
      </c>
      <c r="T182" s="307" t="s">
        <v>225</v>
      </c>
      <c r="U182" s="265"/>
      <c r="V182" s="275"/>
      <c r="W182" s="276"/>
      <c r="X182" s="276"/>
      <c r="Y182" s="276"/>
      <c r="Z182" s="276"/>
      <c r="AA182" s="291"/>
      <c r="AB182" s="22"/>
      <c r="AC182" s="22"/>
      <c r="AD182" s="22"/>
      <c r="AE182" s="28"/>
      <c r="AF182" s="37"/>
    </row>
    <row r="183">
      <c r="A183" s="37"/>
      <c r="B183" s="308"/>
      <c r="C183" s="309">
        <v>1.0</v>
      </c>
      <c r="D183" s="360" t="s">
        <v>154</v>
      </c>
      <c r="E183" s="413">
        <v>10.0</v>
      </c>
      <c r="F183" s="413">
        <v>7.5</v>
      </c>
      <c r="G183" s="414"/>
      <c r="H183" s="413">
        <v>10.0</v>
      </c>
      <c r="I183" s="413">
        <v>7.5</v>
      </c>
      <c r="J183" s="317"/>
      <c r="K183" s="392"/>
      <c r="L183" s="312"/>
      <c r="M183" s="318"/>
      <c r="N183" s="315"/>
      <c r="O183" s="316"/>
      <c r="P183" s="317"/>
      <c r="Q183" s="318"/>
      <c r="R183" s="316"/>
      <c r="S183" s="318"/>
      <c r="T183" s="393">
        <f t="shared" ref="T183:T193" si="12">(E183*F183)+(H183*I183)+(K183*L183)+(N183*O183)+(Q183*R183)</f>
        <v>150</v>
      </c>
      <c r="U183" s="265"/>
      <c r="V183" s="320">
        <v>1.0</v>
      </c>
      <c r="W183" s="321">
        <v>2.0</v>
      </c>
      <c r="X183" s="322">
        <v>3.0</v>
      </c>
      <c r="Y183" s="323">
        <v>4.0</v>
      </c>
      <c r="Z183" s="324">
        <v>5.0</v>
      </c>
      <c r="AA183" s="325">
        <v>6.0</v>
      </c>
      <c r="AB183" s="326">
        <v>7.0</v>
      </c>
      <c r="AC183" s="327">
        <v>8.0</v>
      </c>
      <c r="AD183" s="328">
        <v>9.0</v>
      </c>
      <c r="AE183" s="329">
        <v>10.0</v>
      </c>
      <c r="AF183" s="37"/>
    </row>
    <row r="184">
      <c r="A184" s="37"/>
      <c r="B184" s="308"/>
      <c r="C184" s="330">
        <v>2.0</v>
      </c>
      <c r="D184" s="358" t="s">
        <v>155</v>
      </c>
      <c r="E184" s="415">
        <v>12.0</v>
      </c>
      <c r="F184" s="415">
        <v>30.0</v>
      </c>
      <c r="G184" s="416"/>
      <c r="H184" s="415">
        <v>15.0</v>
      </c>
      <c r="I184" s="415">
        <v>25.0</v>
      </c>
      <c r="J184" s="339"/>
      <c r="K184" s="332"/>
      <c r="L184" s="333"/>
      <c r="M184" s="336"/>
      <c r="N184" s="337"/>
      <c r="O184" s="338"/>
      <c r="P184" s="339"/>
      <c r="Q184" s="336"/>
      <c r="R184" s="338"/>
      <c r="S184" s="336"/>
      <c r="T184" s="319">
        <f t="shared" si="12"/>
        <v>735</v>
      </c>
      <c r="U184" s="265"/>
      <c r="V184" s="340" t="s">
        <v>227</v>
      </c>
      <c r="W184" s="268"/>
      <c r="X184" s="268"/>
      <c r="Y184" s="268"/>
      <c r="Z184" s="268"/>
      <c r="AA184" s="57"/>
      <c r="AB184" s="300"/>
      <c r="AC184" s="273"/>
      <c r="AD184" s="273"/>
      <c r="AE184" s="270"/>
      <c r="AF184" s="37"/>
    </row>
    <row r="185">
      <c r="A185" s="37"/>
      <c r="B185" s="308"/>
      <c r="C185" s="309">
        <v>3.0</v>
      </c>
      <c r="D185" s="360" t="s">
        <v>156</v>
      </c>
      <c r="E185" s="417">
        <v>5.0</v>
      </c>
      <c r="F185" s="417">
        <v>80.0</v>
      </c>
      <c r="G185" s="418"/>
      <c r="H185" s="417">
        <v>8.0</v>
      </c>
      <c r="I185" s="417">
        <v>70.0</v>
      </c>
      <c r="J185" s="344"/>
      <c r="K185" s="311"/>
      <c r="L185" s="342"/>
      <c r="M185" s="318"/>
      <c r="N185" s="345"/>
      <c r="O185" s="346"/>
      <c r="P185" s="344"/>
      <c r="Q185" s="318"/>
      <c r="R185" s="346"/>
      <c r="S185" s="318"/>
      <c r="T185" s="319">
        <f t="shared" si="12"/>
        <v>960</v>
      </c>
      <c r="U185" s="265"/>
      <c r="V185" s="64"/>
      <c r="AA185" s="63"/>
      <c r="AE185" s="25"/>
      <c r="AF185" s="37"/>
    </row>
    <row r="186">
      <c r="A186" s="37"/>
      <c r="B186" s="308"/>
      <c r="C186" s="330">
        <v>4.0</v>
      </c>
      <c r="D186" s="358" t="s">
        <v>159</v>
      </c>
      <c r="E186" s="415">
        <v>12.0</v>
      </c>
      <c r="F186" s="415">
        <v>55.0</v>
      </c>
      <c r="G186" s="416"/>
      <c r="H186" s="415">
        <v>12.0</v>
      </c>
      <c r="I186" s="415">
        <v>55.0</v>
      </c>
      <c r="J186" s="339"/>
      <c r="K186" s="397"/>
      <c r="L186" s="333"/>
      <c r="M186" s="336"/>
      <c r="N186" s="337"/>
      <c r="O186" s="338"/>
      <c r="P186" s="339"/>
      <c r="Q186" s="336"/>
      <c r="R186" s="338"/>
      <c r="S186" s="336"/>
      <c r="T186" s="393">
        <f t="shared" si="12"/>
        <v>1320</v>
      </c>
      <c r="U186" s="265"/>
      <c r="V186" s="275"/>
      <c r="W186" s="276"/>
      <c r="X186" s="276"/>
      <c r="Y186" s="276"/>
      <c r="Z186" s="276"/>
      <c r="AA186" s="291"/>
      <c r="AB186" s="22"/>
      <c r="AC186" s="22"/>
      <c r="AD186" s="22"/>
      <c r="AE186" s="28"/>
      <c r="AF186" s="37"/>
    </row>
    <row r="187">
      <c r="A187" s="37"/>
      <c r="B187" s="308"/>
      <c r="C187" s="309">
        <v>5.0</v>
      </c>
      <c r="D187" s="360" t="s">
        <v>161</v>
      </c>
      <c r="E187" s="418"/>
      <c r="F187" s="418"/>
      <c r="G187" s="418"/>
      <c r="H187" s="418"/>
      <c r="I187" s="418"/>
      <c r="J187" s="344"/>
      <c r="K187" s="311"/>
      <c r="L187" s="342"/>
      <c r="M187" s="318"/>
      <c r="N187" s="345"/>
      <c r="O187" s="346"/>
      <c r="P187" s="344"/>
      <c r="Q187" s="318"/>
      <c r="R187" s="346"/>
      <c r="S187" s="318"/>
      <c r="T187" s="319">
        <f t="shared" si="12"/>
        <v>0</v>
      </c>
      <c r="U187" s="265"/>
      <c r="V187" s="347">
        <v>1.0</v>
      </c>
      <c r="W187" s="348">
        <v>2.0</v>
      </c>
      <c r="X187" s="349">
        <v>3.0</v>
      </c>
      <c r="Y187" s="350">
        <v>4.0</v>
      </c>
      <c r="Z187" s="351">
        <v>5.0</v>
      </c>
      <c r="AA187" s="352">
        <v>6.0</v>
      </c>
      <c r="AB187" s="353">
        <v>7.0</v>
      </c>
      <c r="AC187" s="354">
        <v>8.0</v>
      </c>
      <c r="AD187" s="355">
        <v>9.0</v>
      </c>
      <c r="AE187" s="356">
        <v>10.0</v>
      </c>
      <c r="AF187" s="37"/>
    </row>
    <row r="188">
      <c r="A188" s="37"/>
      <c r="B188" s="308"/>
      <c r="C188" s="330">
        <v>6.0</v>
      </c>
      <c r="D188" s="358" t="s">
        <v>107</v>
      </c>
      <c r="E188" s="415">
        <v>16.0</v>
      </c>
      <c r="F188" s="415">
        <v>10.0</v>
      </c>
      <c r="G188" s="419"/>
      <c r="H188" s="415">
        <v>21.0</v>
      </c>
      <c r="I188" s="415">
        <v>10.0</v>
      </c>
      <c r="J188" s="339"/>
      <c r="K188" s="332"/>
      <c r="L188" s="333"/>
      <c r="M188" s="336"/>
      <c r="N188" s="337"/>
      <c r="O188" s="338"/>
      <c r="P188" s="339"/>
      <c r="Q188" s="336"/>
      <c r="R188" s="338"/>
      <c r="S188" s="336"/>
      <c r="T188" s="319">
        <f t="shared" si="12"/>
        <v>370</v>
      </c>
      <c r="U188" s="265"/>
      <c r="V188" s="293"/>
      <c r="W188" s="293"/>
      <c r="X188" s="293"/>
      <c r="Y188" s="293"/>
      <c r="Z188" s="293"/>
      <c r="AA188" s="293"/>
      <c r="AB188" s="293"/>
      <c r="AC188" s="293"/>
      <c r="AD188" s="293"/>
      <c r="AE188" s="293"/>
      <c r="AF188" s="37"/>
    </row>
    <row r="189">
      <c r="A189" s="37"/>
      <c r="B189" s="308"/>
      <c r="C189" s="309">
        <v>7.0</v>
      </c>
      <c r="D189" s="360" t="s">
        <v>163</v>
      </c>
      <c r="E189" s="417">
        <v>16.0</v>
      </c>
      <c r="F189" s="417">
        <v>7.5</v>
      </c>
      <c r="G189" s="420"/>
      <c r="H189" s="417">
        <v>20.0</v>
      </c>
      <c r="I189" s="417">
        <v>7.5</v>
      </c>
      <c r="J189" s="344"/>
      <c r="K189" s="311"/>
      <c r="L189" s="342"/>
      <c r="M189" s="318"/>
      <c r="N189" s="345"/>
      <c r="O189" s="346"/>
      <c r="P189" s="344"/>
      <c r="Q189" s="318"/>
      <c r="R189" s="346"/>
      <c r="S189" s="318"/>
      <c r="T189" s="319">
        <f t="shared" si="12"/>
        <v>270</v>
      </c>
      <c r="U189" s="265"/>
      <c r="V189" s="357" t="s">
        <v>231</v>
      </c>
      <c r="W189" s="268"/>
      <c r="X189" s="268"/>
      <c r="Y189" s="268"/>
      <c r="Z189" s="268"/>
      <c r="AA189" s="268"/>
      <c r="AB189" s="268"/>
      <c r="AC189" s="268"/>
      <c r="AD189" s="268"/>
      <c r="AE189" s="57"/>
      <c r="AF189" s="37"/>
    </row>
    <row r="190">
      <c r="A190" s="37"/>
      <c r="B190" s="308"/>
      <c r="C190" s="330">
        <v>8.0</v>
      </c>
      <c r="D190" s="358"/>
      <c r="E190" s="336"/>
      <c r="F190" s="338"/>
      <c r="G190" s="336"/>
      <c r="H190" s="337"/>
      <c r="I190" s="338"/>
      <c r="J190" s="339"/>
      <c r="K190" s="336"/>
      <c r="L190" s="338"/>
      <c r="M190" s="336"/>
      <c r="N190" s="337"/>
      <c r="O190" s="338"/>
      <c r="P190" s="339"/>
      <c r="Q190" s="336"/>
      <c r="R190" s="338"/>
      <c r="S190" s="336"/>
      <c r="T190" s="319">
        <f t="shared" si="12"/>
        <v>0</v>
      </c>
      <c r="U190" s="265"/>
      <c r="V190" s="370"/>
      <c r="W190" s="273"/>
      <c r="X190" s="273"/>
      <c r="Y190" s="273"/>
      <c r="Z190" s="273"/>
      <c r="AA190" s="273"/>
      <c r="AB190" s="273"/>
      <c r="AC190" s="273"/>
      <c r="AD190" s="273"/>
      <c r="AE190" s="270"/>
      <c r="AF190" s="37"/>
    </row>
    <row r="191">
      <c r="A191" s="37"/>
      <c r="B191" s="308"/>
      <c r="C191" s="309">
        <v>9.0</v>
      </c>
      <c r="D191" s="360"/>
      <c r="E191" s="318"/>
      <c r="F191" s="346"/>
      <c r="G191" s="318"/>
      <c r="H191" s="345"/>
      <c r="I191" s="346"/>
      <c r="J191" s="344"/>
      <c r="K191" s="318"/>
      <c r="L191" s="346"/>
      <c r="M191" s="318"/>
      <c r="N191" s="345"/>
      <c r="O191" s="346"/>
      <c r="P191" s="344"/>
      <c r="Q191" s="318"/>
      <c r="R191" s="346"/>
      <c r="S191" s="318"/>
      <c r="T191" s="319">
        <f t="shared" si="12"/>
        <v>0</v>
      </c>
      <c r="U191" s="265"/>
      <c r="V191" s="90"/>
      <c r="AE191" s="25"/>
      <c r="AF191" s="37"/>
    </row>
    <row r="192">
      <c r="A192" s="37"/>
      <c r="B192" s="308"/>
      <c r="C192" s="330">
        <v>10.0</v>
      </c>
      <c r="D192" s="358"/>
      <c r="E192" s="336"/>
      <c r="F192" s="338"/>
      <c r="G192" s="336"/>
      <c r="H192" s="337"/>
      <c r="I192" s="338"/>
      <c r="J192" s="339"/>
      <c r="K192" s="336"/>
      <c r="L192" s="338"/>
      <c r="M192" s="336"/>
      <c r="N192" s="337"/>
      <c r="O192" s="338"/>
      <c r="P192" s="339"/>
      <c r="Q192" s="336"/>
      <c r="R192" s="338"/>
      <c r="S192" s="336"/>
      <c r="T192" s="319">
        <f t="shared" si="12"/>
        <v>0</v>
      </c>
      <c r="U192" s="265"/>
      <c r="V192" s="90"/>
      <c r="AE192" s="25"/>
      <c r="AF192" s="37"/>
    </row>
    <row r="193">
      <c r="A193" s="37"/>
      <c r="B193" s="361"/>
      <c r="C193" s="362">
        <v>11.0</v>
      </c>
      <c r="D193" s="363"/>
      <c r="E193" s="364"/>
      <c r="F193" s="365"/>
      <c r="G193" s="364"/>
      <c r="H193" s="366"/>
      <c r="I193" s="365"/>
      <c r="J193" s="367"/>
      <c r="K193" s="364"/>
      <c r="L193" s="365"/>
      <c r="M193" s="364"/>
      <c r="N193" s="366"/>
      <c r="O193" s="365"/>
      <c r="P193" s="367"/>
      <c r="Q193" s="364"/>
      <c r="R193" s="365"/>
      <c r="S193" s="364"/>
      <c r="T193" s="319">
        <f t="shared" si="12"/>
        <v>0</v>
      </c>
      <c r="U193" s="265"/>
      <c r="V193" s="27"/>
      <c r="W193" s="22"/>
      <c r="X193" s="22"/>
      <c r="Y193" s="22"/>
      <c r="Z193" s="22"/>
      <c r="AA193" s="22"/>
      <c r="AB193" s="22"/>
      <c r="AC193" s="22"/>
      <c r="AD193" s="22"/>
      <c r="AE193" s="28"/>
      <c r="AF193" s="37"/>
    </row>
    <row r="194">
      <c r="A194" s="37"/>
      <c r="B194" s="368"/>
      <c r="C194" s="265"/>
      <c r="D194" s="265"/>
      <c r="E194" s="265"/>
      <c r="F194" s="265"/>
      <c r="G194" s="265"/>
      <c r="H194" s="265"/>
      <c r="I194" s="265"/>
      <c r="J194" s="292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93"/>
      <c r="W194" s="293"/>
      <c r="X194" s="293"/>
      <c r="Y194" s="293"/>
      <c r="Z194" s="293"/>
      <c r="AA194" s="293"/>
      <c r="AB194" s="293"/>
      <c r="AC194" s="293"/>
      <c r="AD194" s="293"/>
      <c r="AE194" s="293"/>
      <c r="AF194" s="37"/>
    </row>
    <row r="195">
      <c r="A195" s="37"/>
      <c r="B195" s="265"/>
      <c r="C195" s="294" t="s">
        <v>209</v>
      </c>
      <c r="D195" s="295"/>
      <c r="E195" s="296" t="s">
        <v>233</v>
      </c>
      <c r="F195" s="297"/>
      <c r="G195" s="297"/>
      <c r="H195" s="297"/>
      <c r="I195" s="297"/>
      <c r="J195" s="297"/>
      <c r="K195" s="297"/>
      <c r="L195" s="297"/>
      <c r="M195" s="282"/>
      <c r="N195" s="298" t="s">
        <v>211</v>
      </c>
      <c r="O195" s="268"/>
      <c r="P195" s="57"/>
      <c r="Q195" s="286" t="s">
        <v>212</v>
      </c>
      <c r="R195" s="268"/>
      <c r="S195" s="57"/>
      <c r="T195" s="292"/>
      <c r="U195" s="265"/>
      <c r="V195" s="299" t="s">
        <v>213</v>
      </c>
      <c r="W195" s="268"/>
      <c r="X195" s="268"/>
      <c r="Y195" s="268"/>
      <c r="Z195" s="268"/>
      <c r="AA195" s="57"/>
      <c r="AB195" s="300"/>
      <c r="AC195" s="273"/>
      <c r="AD195" s="273"/>
      <c r="AE195" s="270"/>
      <c r="AF195" s="37"/>
    </row>
    <row r="196">
      <c r="A196" s="37"/>
      <c r="B196" s="265"/>
      <c r="C196" s="301" t="s">
        <v>214</v>
      </c>
      <c r="D196" s="372">
        <v>45866.0</v>
      </c>
      <c r="E196" s="303" t="s">
        <v>215</v>
      </c>
      <c r="F196" s="22"/>
      <c r="G196" s="28"/>
      <c r="H196" s="304" t="s">
        <v>216</v>
      </c>
      <c r="I196" s="297"/>
      <c r="J196" s="282"/>
      <c r="K196" s="304" t="s">
        <v>217</v>
      </c>
      <c r="L196" s="297"/>
      <c r="M196" s="282"/>
      <c r="N196" s="304" t="s">
        <v>218</v>
      </c>
      <c r="O196" s="297"/>
      <c r="P196" s="282"/>
      <c r="Q196" s="304" t="s">
        <v>219</v>
      </c>
      <c r="R196" s="297"/>
      <c r="S196" s="282"/>
      <c r="T196" s="265"/>
      <c r="U196" s="265"/>
      <c r="V196" s="64"/>
      <c r="AA196" s="63"/>
      <c r="AE196" s="25"/>
      <c r="AF196" s="37"/>
    </row>
    <row r="197">
      <c r="A197" s="37"/>
      <c r="B197" s="305" t="s">
        <v>262</v>
      </c>
      <c r="C197" s="306" t="s">
        <v>221</v>
      </c>
      <c r="D197" s="306" t="s">
        <v>222</v>
      </c>
      <c r="E197" s="301" t="s">
        <v>223</v>
      </c>
      <c r="F197" s="301" t="s">
        <v>224</v>
      </c>
      <c r="G197" s="301" t="s">
        <v>66</v>
      </c>
      <c r="H197" s="301" t="s">
        <v>223</v>
      </c>
      <c r="I197" s="301" t="s">
        <v>224</v>
      </c>
      <c r="J197" s="301" t="s">
        <v>66</v>
      </c>
      <c r="K197" s="301" t="s">
        <v>223</v>
      </c>
      <c r="L197" s="301" t="s">
        <v>224</v>
      </c>
      <c r="M197" s="301" t="s">
        <v>66</v>
      </c>
      <c r="N197" s="301" t="s">
        <v>223</v>
      </c>
      <c r="O197" s="301" t="s">
        <v>224</v>
      </c>
      <c r="P197" s="301" t="s">
        <v>66</v>
      </c>
      <c r="Q197" s="301" t="s">
        <v>223</v>
      </c>
      <c r="R197" s="301" t="s">
        <v>224</v>
      </c>
      <c r="S197" s="301" t="s">
        <v>66</v>
      </c>
      <c r="T197" s="307" t="s">
        <v>225</v>
      </c>
      <c r="U197" s="265"/>
      <c r="V197" s="275"/>
      <c r="W197" s="276"/>
      <c r="X197" s="276"/>
      <c r="Y197" s="276"/>
      <c r="Z197" s="276"/>
      <c r="AA197" s="291"/>
      <c r="AB197" s="22"/>
      <c r="AC197" s="22"/>
      <c r="AD197" s="22"/>
      <c r="AE197" s="28"/>
      <c r="AF197" s="37"/>
    </row>
    <row r="198">
      <c r="A198" s="37"/>
      <c r="B198" s="308"/>
      <c r="C198" s="309">
        <v>1.0</v>
      </c>
      <c r="D198" s="373" t="s">
        <v>104</v>
      </c>
      <c r="E198" s="374">
        <v>12.0</v>
      </c>
      <c r="F198" s="375">
        <v>8.0</v>
      </c>
      <c r="G198" s="374"/>
      <c r="H198" s="376">
        <v>17.0</v>
      </c>
      <c r="I198" s="375">
        <v>8.0</v>
      </c>
      <c r="J198" s="317"/>
      <c r="K198" s="318"/>
      <c r="L198" s="312"/>
      <c r="M198" s="318"/>
      <c r="N198" s="315"/>
      <c r="O198" s="316"/>
      <c r="P198" s="317"/>
      <c r="Q198" s="318"/>
      <c r="R198" s="316"/>
      <c r="S198" s="318"/>
      <c r="T198" s="319">
        <f t="shared" ref="T198:T208" si="13">(E198*F198)+(H198*I198)+(K198*L198)+(N198*O198)+(Q198*R198)</f>
        <v>232</v>
      </c>
      <c r="U198" s="265"/>
      <c r="V198" s="320">
        <v>1.0</v>
      </c>
      <c r="W198" s="321">
        <v>2.0</v>
      </c>
      <c r="X198" s="322">
        <v>3.0</v>
      </c>
      <c r="Y198" s="323">
        <v>4.0</v>
      </c>
      <c r="Z198" s="324">
        <v>5.0</v>
      </c>
      <c r="AA198" s="325">
        <v>6.0</v>
      </c>
      <c r="AB198" s="326">
        <v>7.0</v>
      </c>
      <c r="AC198" s="327">
        <v>8.0</v>
      </c>
      <c r="AD198" s="328">
        <v>9.0</v>
      </c>
      <c r="AE198" s="329">
        <v>10.0</v>
      </c>
      <c r="AF198" s="37"/>
    </row>
    <row r="199">
      <c r="A199" s="37"/>
      <c r="B199" s="308"/>
      <c r="C199" s="330">
        <v>2.0</v>
      </c>
      <c r="D199" s="377" t="s">
        <v>145</v>
      </c>
      <c r="E199" s="378">
        <v>10.0</v>
      </c>
      <c r="F199" s="379">
        <v>30.0</v>
      </c>
      <c r="G199" s="380"/>
      <c r="H199" s="381">
        <v>10.0</v>
      </c>
      <c r="I199" s="379">
        <v>30.0</v>
      </c>
      <c r="J199" s="339"/>
      <c r="K199" s="336"/>
      <c r="L199" s="333"/>
      <c r="M199" s="336"/>
      <c r="N199" s="337"/>
      <c r="O199" s="338"/>
      <c r="P199" s="339"/>
      <c r="Q199" s="336"/>
      <c r="R199" s="338"/>
      <c r="S199" s="336"/>
      <c r="T199" s="319">
        <f t="shared" si="13"/>
        <v>600</v>
      </c>
      <c r="U199" s="265"/>
      <c r="V199" s="340" t="s">
        <v>227</v>
      </c>
      <c r="W199" s="268"/>
      <c r="X199" s="268"/>
      <c r="Y199" s="268"/>
      <c r="Z199" s="268"/>
      <c r="AA199" s="57"/>
      <c r="AB199" s="300"/>
      <c r="AC199" s="273"/>
      <c r="AD199" s="273"/>
      <c r="AE199" s="270"/>
      <c r="AF199" s="37"/>
    </row>
    <row r="200">
      <c r="A200" s="37"/>
      <c r="B200" s="308"/>
      <c r="C200" s="309">
        <v>3.0</v>
      </c>
      <c r="D200" s="382" t="s">
        <v>146</v>
      </c>
      <c r="E200" s="374">
        <v>7.0</v>
      </c>
      <c r="F200" s="383">
        <v>30.0</v>
      </c>
      <c r="G200" s="384"/>
      <c r="H200" s="385">
        <v>8.0</v>
      </c>
      <c r="I200" s="383">
        <v>30.0</v>
      </c>
      <c r="J200" s="344"/>
      <c r="K200" s="318"/>
      <c r="L200" s="342"/>
      <c r="M200" s="318"/>
      <c r="N200" s="345"/>
      <c r="O200" s="346"/>
      <c r="P200" s="344"/>
      <c r="Q200" s="318"/>
      <c r="R200" s="346"/>
      <c r="S200" s="318"/>
      <c r="T200" s="319">
        <f t="shared" si="13"/>
        <v>450</v>
      </c>
      <c r="U200" s="265"/>
      <c r="V200" s="64"/>
      <c r="AA200" s="63"/>
      <c r="AE200" s="25"/>
      <c r="AF200" s="37"/>
    </row>
    <row r="201">
      <c r="A201" s="37"/>
      <c r="B201" s="308"/>
      <c r="C201" s="330">
        <v>4.0</v>
      </c>
      <c r="D201" s="377" t="s">
        <v>76</v>
      </c>
      <c r="E201" s="378">
        <v>12.0</v>
      </c>
      <c r="F201" s="379">
        <v>12.5</v>
      </c>
      <c r="G201" s="380"/>
      <c r="H201" s="381">
        <v>18.0</v>
      </c>
      <c r="I201" s="379">
        <v>12.5</v>
      </c>
      <c r="J201" s="339"/>
      <c r="K201" s="336"/>
      <c r="L201" s="333"/>
      <c r="M201" s="336"/>
      <c r="N201" s="334"/>
      <c r="O201" s="333"/>
      <c r="P201" s="339"/>
      <c r="Q201" s="336"/>
      <c r="R201" s="338"/>
      <c r="S201" s="336"/>
      <c r="T201" s="319">
        <f t="shared" si="13"/>
        <v>375</v>
      </c>
      <c r="U201" s="265"/>
      <c r="V201" s="275"/>
      <c r="W201" s="276"/>
      <c r="X201" s="276"/>
      <c r="Y201" s="276"/>
      <c r="Z201" s="276"/>
      <c r="AA201" s="291"/>
      <c r="AB201" s="22"/>
      <c r="AC201" s="22"/>
      <c r="AD201" s="22"/>
      <c r="AE201" s="28"/>
      <c r="AF201" s="37"/>
    </row>
    <row r="202">
      <c r="A202" s="37"/>
      <c r="B202" s="308"/>
      <c r="C202" s="309">
        <v>5.0</v>
      </c>
      <c r="D202" s="382" t="s">
        <v>147</v>
      </c>
      <c r="E202" s="374">
        <v>14.0</v>
      </c>
      <c r="F202" s="383">
        <v>5.0</v>
      </c>
      <c r="G202" s="384"/>
      <c r="H202" s="385">
        <v>19.0</v>
      </c>
      <c r="I202" s="383">
        <v>5.0</v>
      </c>
      <c r="J202" s="344"/>
      <c r="K202" s="318"/>
      <c r="L202" s="342"/>
      <c r="M202" s="318"/>
      <c r="N202" s="345"/>
      <c r="O202" s="346"/>
      <c r="P202" s="344"/>
      <c r="Q202" s="318"/>
      <c r="R202" s="346"/>
      <c r="S202" s="318"/>
      <c r="T202" s="319">
        <f t="shared" si="13"/>
        <v>165</v>
      </c>
      <c r="U202" s="265"/>
      <c r="V202" s="347">
        <v>1.0</v>
      </c>
      <c r="W202" s="348">
        <v>2.0</v>
      </c>
      <c r="X202" s="349">
        <v>3.0</v>
      </c>
      <c r="Y202" s="350">
        <v>4.0</v>
      </c>
      <c r="Z202" s="351">
        <v>5.0</v>
      </c>
      <c r="AA202" s="352">
        <v>6.0</v>
      </c>
      <c r="AB202" s="353">
        <v>7.0</v>
      </c>
      <c r="AC202" s="354">
        <v>8.0</v>
      </c>
      <c r="AD202" s="355">
        <v>9.0</v>
      </c>
      <c r="AE202" s="356">
        <v>10.0</v>
      </c>
      <c r="AF202" s="37"/>
    </row>
    <row r="203">
      <c r="A203" s="37"/>
      <c r="B203" s="308"/>
      <c r="C203" s="330">
        <v>6.0</v>
      </c>
      <c r="D203" s="331" t="s">
        <v>149</v>
      </c>
      <c r="E203" s="378">
        <v>12.0</v>
      </c>
      <c r="F203" s="379">
        <v>22.5</v>
      </c>
      <c r="G203" s="378"/>
      <c r="H203" s="381">
        <v>12.0</v>
      </c>
      <c r="I203" s="379">
        <v>22.5</v>
      </c>
      <c r="J203" s="339"/>
      <c r="K203" s="336"/>
      <c r="L203" s="338"/>
      <c r="M203" s="336"/>
      <c r="N203" s="337"/>
      <c r="O203" s="338"/>
      <c r="P203" s="339"/>
      <c r="Q203" s="336"/>
      <c r="R203" s="338"/>
      <c r="S203" s="336"/>
      <c r="T203" s="319">
        <f t="shared" si="13"/>
        <v>540</v>
      </c>
      <c r="U203" s="265"/>
      <c r="V203" s="293"/>
      <c r="W203" s="293"/>
      <c r="X203" s="293"/>
      <c r="Y203" s="293"/>
      <c r="Z203" s="293"/>
      <c r="AA203" s="293"/>
      <c r="AB203" s="293"/>
      <c r="AC203" s="293"/>
      <c r="AD203" s="293"/>
      <c r="AE203" s="293"/>
      <c r="AF203" s="37"/>
    </row>
    <row r="204">
      <c r="A204" s="37"/>
      <c r="B204" s="308"/>
      <c r="C204" s="309">
        <v>7.0</v>
      </c>
      <c r="D204" s="382" t="s">
        <v>151</v>
      </c>
      <c r="E204" s="374">
        <v>12.0</v>
      </c>
      <c r="F204" s="383"/>
      <c r="G204" s="384"/>
      <c r="H204" s="385"/>
      <c r="I204" s="383"/>
      <c r="J204" s="344"/>
      <c r="K204" s="318"/>
      <c r="L204" s="346"/>
      <c r="M204" s="318"/>
      <c r="N204" s="345"/>
      <c r="O204" s="346"/>
      <c r="P204" s="344"/>
      <c r="Q204" s="318"/>
      <c r="R204" s="346"/>
      <c r="S204" s="318"/>
      <c r="T204" s="319">
        <f t="shared" si="13"/>
        <v>0</v>
      </c>
      <c r="U204" s="265"/>
      <c r="V204" s="357" t="s">
        <v>231</v>
      </c>
      <c r="W204" s="268"/>
      <c r="X204" s="268"/>
      <c r="Y204" s="268"/>
      <c r="Z204" s="268"/>
      <c r="AA204" s="268"/>
      <c r="AB204" s="268"/>
      <c r="AC204" s="268"/>
      <c r="AD204" s="268"/>
      <c r="AE204" s="57"/>
      <c r="AF204" s="37"/>
    </row>
    <row r="205">
      <c r="A205" s="37"/>
      <c r="B205" s="308"/>
      <c r="C205" s="330">
        <v>8.0</v>
      </c>
      <c r="D205" s="358"/>
      <c r="E205" s="336"/>
      <c r="F205" s="338"/>
      <c r="G205" s="336"/>
      <c r="H205" s="337"/>
      <c r="I205" s="338"/>
      <c r="J205" s="339"/>
      <c r="K205" s="336"/>
      <c r="L205" s="338"/>
      <c r="M205" s="336"/>
      <c r="N205" s="337"/>
      <c r="O205" s="338"/>
      <c r="P205" s="339"/>
      <c r="Q205" s="336"/>
      <c r="R205" s="338"/>
      <c r="S205" s="336"/>
      <c r="T205" s="319">
        <f t="shared" si="13"/>
        <v>0</v>
      </c>
      <c r="U205" s="265"/>
      <c r="V205" s="370"/>
      <c r="W205" s="273"/>
      <c r="X205" s="273"/>
      <c r="Y205" s="273"/>
      <c r="Z205" s="273"/>
      <c r="AA205" s="273"/>
      <c r="AB205" s="273"/>
      <c r="AC205" s="273"/>
      <c r="AD205" s="273"/>
      <c r="AE205" s="270"/>
      <c r="AF205" s="37"/>
    </row>
    <row r="206">
      <c r="A206" s="37"/>
      <c r="B206" s="308"/>
      <c r="C206" s="309">
        <v>9.0</v>
      </c>
      <c r="D206" s="360"/>
      <c r="E206" s="318"/>
      <c r="F206" s="346"/>
      <c r="G206" s="318"/>
      <c r="H206" s="345"/>
      <c r="I206" s="346"/>
      <c r="J206" s="344"/>
      <c r="K206" s="318"/>
      <c r="L206" s="346"/>
      <c r="M206" s="318"/>
      <c r="N206" s="345"/>
      <c r="O206" s="346"/>
      <c r="P206" s="344"/>
      <c r="Q206" s="318"/>
      <c r="R206" s="346"/>
      <c r="S206" s="318"/>
      <c r="T206" s="319">
        <f t="shared" si="13"/>
        <v>0</v>
      </c>
      <c r="U206" s="265"/>
      <c r="V206" s="90"/>
      <c r="AE206" s="25"/>
      <c r="AF206" s="37"/>
    </row>
    <row r="207">
      <c r="A207" s="37"/>
      <c r="B207" s="308"/>
      <c r="C207" s="330">
        <v>10.0</v>
      </c>
      <c r="D207" s="358"/>
      <c r="E207" s="336"/>
      <c r="F207" s="338"/>
      <c r="G207" s="336"/>
      <c r="H207" s="337"/>
      <c r="I207" s="338"/>
      <c r="J207" s="339"/>
      <c r="K207" s="336"/>
      <c r="L207" s="338"/>
      <c r="M207" s="336"/>
      <c r="N207" s="337"/>
      <c r="O207" s="338"/>
      <c r="P207" s="339"/>
      <c r="Q207" s="336"/>
      <c r="R207" s="338"/>
      <c r="S207" s="336"/>
      <c r="T207" s="319">
        <f t="shared" si="13"/>
        <v>0</v>
      </c>
      <c r="U207" s="265"/>
      <c r="V207" s="90"/>
      <c r="AE207" s="25"/>
      <c r="AF207" s="37"/>
    </row>
    <row r="208">
      <c r="A208" s="37"/>
      <c r="B208" s="361"/>
      <c r="C208" s="362">
        <v>11.0</v>
      </c>
      <c r="D208" s="363"/>
      <c r="E208" s="364"/>
      <c r="F208" s="365"/>
      <c r="G208" s="364"/>
      <c r="H208" s="366"/>
      <c r="I208" s="365"/>
      <c r="J208" s="367"/>
      <c r="K208" s="364"/>
      <c r="L208" s="365"/>
      <c r="M208" s="364"/>
      <c r="N208" s="366"/>
      <c r="O208" s="365"/>
      <c r="P208" s="367"/>
      <c r="Q208" s="364"/>
      <c r="R208" s="365"/>
      <c r="S208" s="364"/>
      <c r="T208" s="319">
        <f t="shared" si="13"/>
        <v>0</v>
      </c>
      <c r="U208" s="265"/>
      <c r="V208" s="27"/>
      <c r="W208" s="22"/>
      <c r="X208" s="22"/>
      <c r="Y208" s="22"/>
      <c r="Z208" s="22"/>
      <c r="AA208" s="22"/>
      <c r="AB208" s="22"/>
      <c r="AC208" s="22"/>
      <c r="AD208" s="22"/>
      <c r="AE208" s="28"/>
      <c r="AF208" s="37"/>
    </row>
    <row r="209">
      <c r="A209" s="37"/>
      <c r="B209" s="265"/>
      <c r="C209" s="265"/>
      <c r="D209" s="265"/>
      <c r="E209" s="265"/>
      <c r="F209" s="265"/>
      <c r="G209" s="265"/>
      <c r="H209" s="265"/>
      <c r="I209" s="265"/>
      <c r="J209" s="292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  <c r="AA209" s="265"/>
      <c r="AB209" s="265"/>
      <c r="AC209" s="265"/>
      <c r="AD209" s="265"/>
      <c r="AE209" s="265"/>
      <c r="AF209" s="37"/>
    </row>
  </sheetData>
  <mergeCells count="262">
    <mergeCell ref="I6:J6"/>
    <mergeCell ref="K6:L6"/>
    <mergeCell ref="O6:P6"/>
    <mergeCell ref="Q6:R6"/>
    <mergeCell ref="G7:H7"/>
    <mergeCell ref="I7:J7"/>
    <mergeCell ref="G8:H8"/>
    <mergeCell ref="I8:J8"/>
    <mergeCell ref="G9:H9"/>
    <mergeCell ref="I9:J9"/>
    <mergeCell ref="G10:H10"/>
    <mergeCell ref="I10:J10"/>
    <mergeCell ref="A1:B7"/>
    <mergeCell ref="C3:D4"/>
    <mergeCell ref="E3:F4"/>
    <mergeCell ref="I3:L4"/>
    <mergeCell ref="M3:N4"/>
    <mergeCell ref="G6:H6"/>
    <mergeCell ref="M6:N6"/>
    <mergeCell ref="M8:N8"/>
    <mergeCell ref="O8:P8"/>
    <mergeCell ref="K8:L8"/>
    <mergeCell ref="K9:L9"/>
    <mergeCell ref="M9:N9"/>
    <mergeCell ref="O9:P9"/>
    <mergeCell ref="K7:L7"/>
    <mergeCell ref="K10:L10"/>
    <mergeCell ref="M11:N11"/>
    <mergeCell ref="O11:P11"/>
    <mergeCell ref="Q11:R11"/>
    <mergeCell ref="E15:M15"/>
    <mergeCell ref="N15:P15"/>
    <mergeCell ref="Q15:S15"/>
    <mergeCell ref="E16:G16"/>
    <mergeCell ref="H16:J16"/>
    <mergeCell ref="K16:M16"/>
    <mergeCell ref="N16:P16"/>
    <mergeCell ref="Q16:S16"/>
    <mergeCell ref="C10:D10"/>
    <mergeCell ref="E10:F10"/>
    <mergeCell ref="C11:D11"/>
    <mergeCell ref="E11:F11"/>
    <mergeCell ref="G11:H11"/>
    <mergeCell ref="I11:J11"/>
    <mergeCell ref="K11:L11"/>
    <mergeCell ref="E6:F6"/>
    <mergeCell ref="C7:D7"/>
    <mergeCell ref="E7:F7"/>
    <mergeCell ref="C8:D8"/>
    <mergeCell ref="E8:F8"/>
    <mergeCell ref="C9:D9"/>
    <mergeCell ref="E9:F9"/>
    <mergeCell ref="N31:P31"/>
    <mergeCell ref="Q31:S31"/>
    <mergeCell ref="C15:D15"/>
    <mergeCell ref="B17:B28"/>
    <mergeCell ref="C30:D30"/>
    <mergeCell ref="E30:M30"/>
    <mergeCell ref="N30:P30"/>
    <mergeCell ref="Q30:S30"/>
    <mergeCell ref="E31:G31"/>
    <mergeCell ref="H31:J31"/>
    <mergeCell ref="K31:M31"/>
    <mergeCell ref="B32:B43"/>
    <mergeCell ref="C45:D45"/>
    <mergeCell ref="E45:M45"/>
    <mergeCell ref="N45:P45"/>
    <mergeCell ref="Q45:S45"/>
    <mergeCell ref="V64:AA66"/>
    <mergeCell ref="AB64:AE66"/>
    <mergeCell ref="V69:AE69"/>
    <mergeCell ref="V70:AE73"/>
    <mergeCell ref="V75:AA77"/>
    <mergeCell ref="AB75:AE77"/>
    <mergeCell ref="AB79:AE81"/>
    <mergeCell ref="V79:AA81"/>
    <mergeCell ref="V84:AE84"/>
    <mergeCell ref="V85:AE88"/>
    <mergeCell ref="V90:AA92"/>
    <mergeCell ref="AB90:AE92"/>
    <mergeCell ref="V94:AA96"/>
    <mergeCell ref="AB94:AE96"/>
    <mergeCell ref="B107:B118"/>
    <mergeCell ref="C120:D120"/>
    <mergeCell ref="E120:M120"/>
    <mergeCell ref="N120:P120"/>
    <mergeCell ref="Q120:S120"/>
    <mergeCell ref="E121:G121"/>
    <mergeCell ref="H121:J121"/>
    <mergeCell ref="K121:M121"/>
    <mergeCell ref="N121:P121"/>
    <mergeCell ref="B122:B133"/>
    <mergeCell ref="C135:D135"/>
    <mergeCell ref="E135:M135"/>
    <mergeCell ref="N135:P135"/>
    <mergeCell ref="Q135:S135"/>
    <mergeCell ref="E136:G136"/>
    <mergeCell ref="H136:J136"/>
    <mergeCell ref="K136:M136"/>
    <mergeCell ref="N136:P136"/>
    <mergeCell ref="Q136:S136"/>
    <mergeCell ref="B137:B148"/>
    <mergeCell ref="C150:D150"/>
    <mergeCell ref="Q150:S150"/>
    <mergeCell ref="E150:M150"/>
    <mergeCell ref="N150:P150"/>
    <mergeCell ref="E151:G151"/>
    <mergeCell ref="H151:J151"/>
    <mergeCell ref="K151:M151"/>
    <mergeCell ref="N151:P151"/>
    <mergeCell ref="Q151:S151"/>
    <mergeCell ref="B152:B163"/>
    <mergeCell ref="C165:D165"/>
    <mergeCell ref="E165:M165"/>
    <mergeCell ref="N165:P165"/>
    <mergeCell ref="Q165:S165"/>
    <mergeCell ref="E166:G166"/>
    <mergeCell ref="H166:J166"/>
    <mergeCell ref="Q166:S166"/>
    <mergeCell ref="K166:M166"/>
    <mergeCell ref="N166:P166"/>
    <mergeCell ref="B167:B178"/>
    <mergeCell ref="C180:D180"/>
    <mergeCell ref="E180:M180"/>
    <mergeCell ref="N180:P180"/>
    <mergeCell ref="Q180:S180"/>
    <mergeCell ref="E195:M195"/>
    <mergeCell ref="N195:P195"/>
    <mergeCell ref="E196:G196"/>
    <mergeCell ref="H196:J196"/>
    <mergeCell ref="K196:M196"/>
    <mergeCell ref="N196:P196"/>
    <mergeCell ref="Q196:S196"/>
    <mergeCell ref="B197:B208"/>
    <mergeCell ref="E181:G181"/>
    <mergeCell ref="H181:J181"/>
    <mergeCell ref="K181:M181"/>
    <mergeCell ref="N181:P181"/>
    <mergeCell ref="Q181:S181"/>
    <mergeCell ref="B182:B193"/>
    <mergeCell ref="C195:D195"/>
    <mergeCell ref="Q195:S195"/>
    <mergeCell ref="E46:G46"/>
    <mergeCell ref="H46:J46"/>
    <mergeCell ref="K46:M46"/>
    <mergeCell ref="N46:P46"/>
    <mergeCell ref="Q46:S46"/>
    <mergeCell ref="B47:B58"/>
    <mergeCell ref="C60:D60"/>
    <mergeCell ref="Q60:S60"/>
    <mergeCell ref="E75:M75"/>
    <mergeCell ref="N75:P75"/>
    <mergeCell ref="Q75:S75"/>
    <mergeCell ref="E60:M60"/>
    <mergeCell ref="N60:P60"/>
    <mergeCell ref="E61:G61"/>
    <mergeCell ref="H61:J61"/>
    <mergeCell ref="K61:M61"/>
    <mergeCell ref="B62:B73"/>
    <mergeCell ref="C75:D75"/>
    <mergeCell ref="E76:G76"/>
    <mergeCell ref="H76:J76"/>
    <mergeCell ref="K76:M76"/>
    <mergeCell ref="B77:B88"/>
    <mergeCell ref="E90:M90"/>
    <mergeCell ref="N90:P90"/>
    <mergeCell ref="Q90:S90"/>
    <mergeCell ref="N105:P105"/>
    <mergeCell ref="Q105:S105"/>
    <mergeCell ref="E106:G106"/>
    <mergeCell ref="H106:J106"/>
    <mergeCell ref="K106:M106"/>
    <mergeCell ref="N106:P106"/>
    <mergeCell ref="Q106:S106"/>
    <mergeCell ref="C90:D90"/>
    <mergeCell ref="E91:G91"/>
    <mergeCell ref="H91:J91"/>
    <mergeCell ref="K91:M91"/>
    <mergeCell ref="B92:B103"/>
    <mergeCell ref="C105:D105"/>
    <mergeCell ref="E105:M105"/>
    <mergeCell ref="V115:AE118"/>
    <mergeCell ref="V120:AA122"/>
    <mergeCell ref="AB120:AE122"/>
    <mergeCell ref="Q121:S121"/>
    <mergeCell ref="V124:AA126"/>
    <mergeCell ref="AB124:AE126"/>
    <mergeCell ref="V129:AE129"/>
    <mergeCell ref="V130:AE133"/>
    <mergeCell ref="V135:AA137"/>
    <mergeCell ref="AB135:AE137"/>
    <mergeCell ref="V139:AA141"/>
    <mergeCell ref="AB139:AE141"/>
    <mergeCell ref="V144:AE144"/>
    <mergeCell ref="V145:AE148"/>
    <mergeCell ref="V150:AA152"/>
    <mergeCell ref="AB150:AE152"/>
    <mergeCell ref="V154:AA156"/>
    <mergeCell ref="AB154:AE156"/>
    <mergeCell ref="V159:AE159"/>
    <mergeCell ref="V160:AE163"/>
    <mergeCell ref="AB165:AE167"/>
    <mergeCell ref="V165:AA167"/>
    <mergeCell ref="V169:AA171"/>
    <mergeCell ref="AB169:AE171"/>
    <mergeCell ref="V174:AE174"/>
    <mergeCell ref="V175:AE178"/>
    <mergeCell ref="V180:AA182"/>
    <mergeCell ref="AB180:AE182"/>
    <mergeCell ref="V199:AA201"/>
    <mergeCell ref="V204:AE204"/>
    <mergeCell ref="V205:AE208"/>
    <mergeCell ref="V184:AA186"/>
    <mergeCell ref="AB184:AE186"/>
    <mergeCell ref="V189:AE189"/>
    <mergeCell ref="V190:AE193"/>
    <mergeCell ref="V195:AA197"/>
    <mergeCell ref="AB195:AE197"/>
    <mergeCell ref="AB199:AE201"/>
    <mergeCell ref="M10:N10"/>
    <mergeCell ref="O10:P10"/>
    <mergeCell ref="M7:N7"/>
    <mergeCell ref="O7:P7"/>
    <mergeCell ref="Q7:R7"/>
    <mergeCell ref="Z7:AA10"/>
    <mergeCell ref="Q8:R8"/>
    <mergeCell ref="Q9:R9"/>
    <mergeCell ref="Q10:R10"/>
    <mergeCell ref="V7:Y10"/>
    <mergeCell ref="V15:AA17"/>
    <mergeCell ref="AB15:AE17"/>
    <mergeCell ref="V19:AA21"/>
    <mergeCell ref="AB19:AE21"/>
    <mergeCell ref="V24:AE24"/>
    <mergeCell ref="V25:AE28"/>
    <mergeCell ref="V30:AA32"/>
    <mergeCell ref="AB30:AE32"/>
    <mergeCell ref="V34:AA36"/>
    <mergeCell ref="AB34:AE36"/>
    <mergeCell ref="V39:AE39"/>
    <mergeCell ref="V40:AE43"/>
    <mergeCell ref="AB45:AE47"/>
    <mergeCell ref="N61:P61"/>
    <mergeCell ref="Q61:S61"/>
    <mergeCell ref="N76:P76"/>
    <mergeCell ref="Q76:S76"/>
    <mergeCell ref="N91:P91"/>
    <mergeCell ref="Q91:S91"/>
    <mergeCell ref="V45:AA47"/>
    <mergeCell ref="V49:AA51"/>
    <mergeCell ref="AB49:AE51"/>
    <mergeCell ref="V54:AE54"/>
    <mergeCell ref="V55:AE58"/>
    <mergeCell ref="V60:AA62"/>
    <mergeCell ref="AB60:AE62"/>
    <mergeCell ref="V99:AE99"/>
    <mergeCell ref="V100:AE103"/>
    <mergeCell ref="V105:AA107"/>
    <mergeCell ref="AB105:AE107"/>
    <mergeCell ref="V109:AA111"/>
    <mergeCell ref="AB109:AE111"/>
    <mergeCell ref="V114:AE114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 AB15 AB19 AB30 AB34 AB45 AB49 AB60 AB64 AB75 AB79 AB90 AB94 AB105 AB109 AB120 AB124 AB135 AB139 AB150 AB154 AB165 AB169 AB180 AB184 AB195 AB199">
      <formula1>"1,2,3,4,5,6,7,8,9,10"</formula1>
    </dataValidation>
    <dataValidation type="list" allowBlank="1" showErrorMessage="1" sqref="Z7">
      <formula1>"SI,NO"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5 Q30 Q45 Q60 Q75 Q90 Q105 Q120 Q135 Q150 Q165 Q180 Q195">
      <formula1>"Muy malo,Malo,Regular,Bueno,Muy bueno"</formula1>
    </dataValidation>
  </dataValidations>
  <hyperlinks>
    <hyperlink r:id="rId1" ref="D93"/>
    <hyperlink r:id="rId2" ref="D94"/>
    <hyperlink r:id="rId3" ref="D95"/>
    <hyperlink r:id="rId4" ref="D96"/>
    <hyperlink r:id="rId5" ref="D97"/>
    <hyperlink r:id="rId6" ref="D98"/>
    <hyperlink r:id="rId7" ref="D123"/>
    <hyperlink r:id="rId8" ref="D124"/>
    <hyperlink r:id="rId9" ref="D125"/>
    <hyperlink r:id="rId10" ref="D126"/>
    <hyperlink r:id="rId11" ref="D127"/>
    <hyperlink r:id="rId12" ref="D12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5"/>
      <c r="AG1" s="265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  <c r="W2" s="266"/>
      <c r="X2" s="266"/>
      <c r="Y2" s="266"/>
      <c r="Z2" s="266"/>
      <c r="AA2" s="266"/>
      <c r="AB2" s="265"/>
      <c r="AC2" s="265"/>
      <c r="AD2" s="265"/>
      <c r="AE2" s="265"/>
      <c r="AF2" s="265"/>
      <c r="AG2" s="265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  <c r="W3" s="266"/>
      <c r="X3" s="266"/>
      <c r="Y3" s="266"/>
      <c r="Z3" s="266"/>
      <c r="AA3" s="266"/>
      <c r="AB3" s="265"/>
      <c r="AC3" s="265"/>
      <c r="AD3" s="265"/>
      <c r="AE3" s="265"/>
      <c r="AF3" s="265"/>
      <c r="AG3" s="265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  <c r="W4" s="266"/>
      <c r="X4" s="266"/>
      <c r="Y4" s="266"/>
      <c r="Z4" s="266"/>
      <c r="AA4" s="266"/>
      <c r="AB4" s="265"/>
      <c r="AC4" s="265"/>
      <c r="AD4" s="265"/>
      <c r="AE4" s="265"/>
      <c r="AF4" s="265"/>
      <c r="AG4" s="37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  <c r="W5" s="266"/>
      <c r="X5" s="266"/>
      <c r="Y5" s="266"/>
      <c r="Z5" s="266"/>
      <c r="AA5" s="266"/>
      <c r="AB5" s="265"/>
      <c r="AC5" s="264"/>
      <c r="AD5" s="264"/>
      <c r="AE5" s="264"/>
      <c r="AF5" s="264"/>
      <c r="AG5" s="37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  <c r="W6" s="266"/>
      <c r="X6" s="266"/>
      <c r="Y6" s="266"/>
      <c r="Z6" s="266"/>
      <c r="AA6" s="266"/>
      <c r="AB6" s="265"/>
      <c r="AC6" s="264"/>
      <c r="AD6" s="264"/>
      <c r="AE6" s="264"/>
      <c r="AF6" s="264"/>
      <c r="AG6" s="37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  <c r="W7" s="285" t="s">
        <v>203</v>
      </c>
      <c r="X7" s="268"/>
      <c r="Y7" s="268"/>
      <c r="Z7" s="57"/>
      <c r="AA7" s="286" t="s">
        <v>252</v>
      </c>
      <c r="AB7" s="57"/>
      <c r="AC7" s="264"/>
      <c r="AD7" s="264"/>
      <c r="AE7" s="264"/>
      <c r="AF7" s="264"/>
      <c r="AG7" s="37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  <c r="W8" s="64"/>
      <c r="Z8" s="63"/>
      <c r="AA8" s="64"/>
      <c r="AB8" s="63"/>
      <c r="AC8" s="264"/>
      <c r="AD8" s="264"/>
      <c r="AE8" s="264"/>
      <c r="AF8" s="264"/>
      <c r="AG8" s="265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  <c r="W9" s="64"/>
      <c r="Z9" s="63"/>
      <c r="AA9" s="64"/>
      <c r="AB9" s="63"/>
      <c r="AC9" s="290"/>
      <c r="AD9" s="290"/>
      <c r="AE9" s="290"/>
      <c r="AF9" s="290"/>
      <c r="AG9" s="265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  <c r="W10" s="275"/>
      <c r="X10" s="276"/>
      <c r="Y10" s="276"/>
      <c r="Z10" s="291"/>
      <c r="AA10" s="275"/>
      <c r="AB10" s="291"/>
      <c r="AC10" s="265"/>
      <c r="AD10" s="265"/>
      <c r="AE10" s="265"/>
      <c r="AF10" s="265"/>
      <c r="AG10" s="265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  <c r="W11" s="37"/>
      <c r="X11" s="37"/>
      <c r="Y11" s="37"/>
      <c r="Z11" s="37"/>
      <c r="AA11" s="37"/>
      <c r="AB11" s="37"/>
      <c r="AC11" s="265"/>
      <c r="AD11" s="265"/>
      <c r="AE11" s="265"/>
      <c r="AF11" s="265"/>
      <c r="AG11" s="265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  <c r="W12" s="37"/>
      <c r="X12" s="37"/>
      <c r="Y12" s="37"/>
      <c r="Z12" s="37"/>
      <c r="AA12" s="37"/>
      <c r="AB12" s="37"/>
      <c r="AC12" s="265"/>
      <c r="AD12" s="265"/>
      <c r="AE12" s="265"/>
      <c r="AF12" s="265"/>
      <c r="AG12" s="265"/>
    </row>
    <row r="13">
      <c r="A13" s="264"/>
      <c r="B13" s="265"/>
      <c r="C13" s="265"/>
      <c r="D13" s="292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92"/>
      <c r="T13" s="265"/>
      <c r="U13" s="265"/>
      <c r="V13" s="265"/>
      <c r="W13" s="265"/>
      <c r="X13" s="292"/>
      <c r="Y13" s="265"/>
      <c r="Z13" s="265"/>
      <c r="AA13" s="265"/>
      <c r="AB13" s="265"/>
      <c r="AC13" s="265"/>
      <c r="AD13" s="265"/>
      <c r="AE13" s="265"/>
      <c r="AF13" s="265"/>
      <c r="AG13" s="265"/>
    </row>
    <row r="14">
      <c r="A14" s="264"/>
      <c r="B14" s="265"/>
      <c r="C14" s="265"/>
      <c r="D14" s="265"/>
      <c r="E14" s="265"/>
      <c r="F14" s="265"/>
      <c r="G14" s="265"/>
      <c r="H14" s="265"/>
      <c r="I14" s="292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93"/>
    </row>
    <row r="15">
      <c r="A15" s="264"/>
      <c r="B15" s="265"/>
      <c r="C15" s="294" t="s">
        <v>209</v>
      </c>
      <c r="D15" s="295"/>
      <c r="E15" s="296" t="s">
        <v>210</v>
      </c>
      <c r="F15" s="297"/>
      <c r="G15" s="297"/>
      <c r="H15" s="297"/>
      <c r="I15" s="297"/>
      <c r="J15" s="297"/>
      <c r="K15" s="297"/>
      <c r="L15" s="297"/>
      <c r="M15" s="282"/>
      <c r="N15" s="298" t="s">
        <v>211</v>
      </c>
      <c r="O15" s="268"/>
      <c r="P15" s="57"/>
      <c r="Q15" s="286"/>
      <c r="R15" s="268"/>
      <c r="S15" s="57"/>
      <c r="T15" s="292"/>
      <c r="U15" s="265"/>
      <c r="V15" s="265"/>
      <c r="W15" s="299" t="s">
        <v>213</v>
      </c>
      <c r="X15" s="268"/>
      <c r="Y15" s="268"/>
      <c r="Z15" s="268"/>
      <c r="AA15" s="268"/>
      <c r="AB15" s="57"/>
      <c r="AC15" s="300">
        <v>9.0</v>
      </c>
      <c r="AD15" s="273"/>
      <c r="AE15" s="273"/>
      <c r="AF15" s="270"/>
      <c r="AG15" s="293"/>
    </row>
    <row r="16">
      <c r="A16" s="264"/>
      <c r="B16" s="265"/>
      <c r="C16" s="301" t="s">
        <v>214</v>
      </c>
      <c r="D16" s="302">
        <v>45870.0</v>
      </c>
      <c r="E16" s="303" t="s">
        <v>215</v>
      </c>
      <c r="F16" s="22"/>
      <c r="G16" s="28"/>
      <c r="H16" s="304" t="s">
        <v>216</v>
      </c>
      <c r="I16" s="297"/>
      <c r="J16" s="282"/>
      <c r="K16" s="304" t="s">
        <v>217</v>
      </c>
      <c r="L16" s="297"/>
      <c r="M16" s="282"/>
      <c r="N16" s="304" t="s">
        <v>218</v>
      </c>
      <c r="O16" s="297"/>
      <c r="P16" s="282"/>
      <c r="Q16" s="304" t="s">
        <v>219</v>
      </c>
      <c r="R16" s="297"/>
      <c r="S16" s="282"/>
      <c r="T16" s="265"/>
      <c r="U16" s="265"/>
      <c r="V16" s="265"/>
      <c r="W16" s="64"/>
      <c r="AB16" s="63"/>
      <c r="AF16" s="25"/>
      <c r="AG16" s="293"/>
    </row>
    <row r="17">
      <c r="A17" s="264"/>
      <c r="B17" s="305" t="s">
        <v>220</v>
      </c>
      <c r="C17" s="306" t="s">
        <v>221</v>
      </c>
      <c r="D17" s="306" t="s">
        <v>222</v>
      </c>
      <c r="E17" s="301" t="s">
        <v>223</v>
      </c>
      <c r="F17" s="301" t="s">
        <v>224</v>
      </c>
      <c r="G17" s="301" t="s">
        <v>66</v>
      </c>
      <c r="H17" s="301" t="s">
        <v>223</v>
      </c>
      <c r="I17" s="301" t="s">
        <v>224</v>
      </c>
      <c r="J17" s="301" t="s">
        <v>66</v>
      </c>
      <c r="K17" s="301" t="s">
        <v>223</v>
      </c>
      <c r="L17" s="301" t="s">
        <v>224</v>
      </c>
      <c r="M17" s="301" t="s">
        <v>66</v>
      </c>
      <c r="N17" s="301" t="s">
        <v>223</v>
      </c>
      <c r="O17" s="301" t="s">
        <v>224</v>
      </c>
      <c r="P17" s="301" t="s">
        <v>66</v>
      </c>
      <c r="Q17" s="301" t="s">
        <v>223</v>
      </c>
      <c r="R17" s="301" t="s">
        <v>224</v>
      </c>
      <c r="S17" s="301" t="s">
        <v>66</v>
      </c>
      <c r="T17" s="307" t="s">
        <v>225</v>
      </c>
      <c r="U17" s="421" t="s">
        <v>263</v>
      </c>
      <c r="V17" s="265"/>
      <c r="W17" s="275"/>
      <c r="X17" s="276"/>
      <c r="Y17" s="276"/>
      <c r="Z17" s="276"/>
      <c r="AA17" s="276"/>
      <c r="AB17" s="291"/>
      <c r="AC17" s="22"/>
      <c r="AD17" s="22"/>
      <c r="AE17" s="22"/>
      <c r="AF17" s="28"/>
      <c r="AG17" s="293"/>
    </row>
    <row r="18">
      <c r="A18" s="264"/>
      <c r="B18" s="308"/>
      <c r="C18" s="309">
        <v>1.0</v>
      </c>
      <c r="D18" s="398" t="s">
        <v>167</v>
      </c>
      <c r="E18" s="259">
        <v>16.0</v>
      </c>
      <c r="F18" s="312">
        <v>55.0</v>
      </c>
      <c r="G18" s="318"/>
      <c r="H18" s="313">
        <v>12.0</v>
      </c>
      <c r="I18" s="312">
        <v>55.0</v>
      </c>
      <c r="J18" s="317"/>
      <c r="K18" s="311"/>
      <c r="L18" s="312"/>
      <c r="M18" s="311"/>
      <c r="N18" s="315"/>
      <c r="O18" s="316"/>
      <c r="P18" s="317"/>
      <c r="Q18" s="318"/>
      <c r="R18" s="316"/>
      <c r="S18" s="318"/>
      <c r="T18" s="319">
        <f t="shared" ref="T18:T28" si="1">(E18*F18)+(H18*I18)+(K18*L18)+(N18*O18)+(Q18*R18)</f>
        <v>1540</v>
      </c>
      <c r="U18" s="422"/>
      <c r="V18" s="265"/>
      <c r="W18" s="320">
        <v>1.0</v>
      </c>
      <c r="X18" s="321">
        <v>2.0</v>
      </c>
      <c r="Y18" s="322">
        <v>3.0</v>
      </c>
      <c r="Z18" s="323">
        <v>4.0</v>
      </c>
      <c r="AA18" s="324">
        <v>5.0</v>
      </c>
      <c r="AB18" s="325">
        <v>6.0</v>
      </c>
      <c r="AC18" s="326">
        <v>7.0</v>
      </c>
      <c r="AD18" s="327">
        <v>8.0</v>
      </c>
      <c r="AE18" s="328">
        <v>9.0</v>
      </c>
      <c r="AF18" s="329">
        <v>10.0</v>
      </c>
      <c r="AG18" s="293"/>
    </row>
    <row r="19">
      <c r="A19" s="264"/>
      <c r="B19" s="308"/>
      <c r="C19" s="330">
        <v>2.0</v>
      </c>
      <c r="D19" s="399" t="s">
        <v>169</v>
      </c>
      <c r="E19" s="423">
        <v>16.0</v>
      </c>
      <c r="F19" s="333">
        <v>10.0</v>
      </c>
      <c r="G19" s="336"/>
      <c r="H19" s="334">
        <v>22.0</v>
      </c>
      <c r="I19" s="333">
        <v>10.0</v>
      </c>
      <c r="J19" s="339"/>
      <c r="K19" s="332"/>
      <c r="L19" s="333"/>
      <c r="M19" s="336"/>
      <c r="N19" s="337"/>
      <c r="O19" s="338"/>
      <c r="P19" s="339"/>
      <c r="Q19" s="336"/>
      <c r="R19" s="338"/>
      <c r="S19" s="336"/>
      <c r="T19" s="319">
        <f t="shared" si="1"/>
        <v>380</v>
      </c>
      <c r="U19" s="422"/>
      <c r="V19" s="265"/>
      <c r="W19" s="340" t="s">
        <v>227</v>
      </c>
      <c r="X19" s="268"/>
      <c r="Y19" s="268"/>
      <c r="Z19" s="268"/>
      <c r="AA19" s="268"/>
      <c r="AB19" s="57"/>
      <c r="AC19" s="300">
        <v>9.0</v>
      </c>
      <c r="AD19" s="273"/>
      <c r="AE19" s="273"/>
      <c r="AF19" s="270"/>
      <c r="AG19" s="293"/>
    </row>
    <row r="20">
      <c r="A20" s="264"/>
      <c r="B20" s="308"/>
      <c r="C20" s="309">
        <v>3.0</v>
      </c>
      <c r="D20" s="400" t="s">
        <v>170</v>
      </c>
      <c r="E20" s="259">
        <v>4.0</v>
      </c>
      <c r="F20" s="342">
        <v>100.0</v>
      </c>
      <c r="G20" s="318"/>
      <c r="H20" s="343">
        <v>8.0</v>
      </c>
      <c r="I20" s="342">
        <v>70.0</v>
      </c>
      <c r="J20" s="344"/>
      <c r="K20" s="311"/>
      <c r="L20" s="342"/>
      <c r="M20" s="318"/>
      <c r="N20" s="345"/>
      <c r="O20" s="346"/>
      <c r="P20" s="344"/>
      <c r="Q20" s="318"/>
      <c r="R20" s="346"/>
      <c r="S20" s="318"/>
      <c r="T20" s="319">
        <f t="shared" si="1"/>
        <v>960</v>
      </c>
      <c r="U20" s="422"/>
      <c r="V20" s="265"/>
      <c r="W20" s="64"/>
      <c r="AB20" s="63"/>
      <c r="AF20" s="25"/>
      <c r="AG20" s="293"/>
    </row>
    <row r="21">
      <c r="A21" s="264"/>
      <c r="B21" s="308"/>
      <c r="C21" s="330">
        <v>4.0</v>
      </c>
      <c r="D21" s="401" t="s">
        <v>171</v>
      </c>
      <c r="E21" s="423">
        <v>10.0</v>
      </c>
      <c r="F21" s="333">
        <v>100.0</v>
      </c>
      <c r="G21" s="336"/>
      <c r="H21" s="334">
        <v>10.0</v>
      </c>
      <c r="I21" s="333">
        <v>120.0</v>
      </c>
      <c r="J21" s="339"/>
      <c r="K21" s="332"/>
      <c r="L21" s="333"/>
      <c r="M21" s="336"/>
      <c r="N21" s="337"/>
      <c r="O21" s="338"/>
      <c r="P21" s="339"/>
      <c r="Q21" s="336"/>
      <c r="R21" s="338"/>
      <c r="S21" s="336"/>
      <c r="T21" s="319">
        <f t="shared" si="1"/>
        <v>2200</v>
      </c>
      <c r="U21" s="422"/>
      <c r="V21" s="265"/>
      <c r="W21" s="275"/>
      <c r="X21" s="276"/>
      <c r="Y21" s="276"/>
      <c r="Z21" s="276"/>
      <c r="AA21" s="276"/>
      <c r="AB21" s="291"/>
      <c r="AC21" s="22"/>
      <c r="AD21" s="22"/>
      <c r="AE21" s="22"/>
      <c r="AF21" s="28"/>
      <c r="AG21" s="293"/>
    </row>
    <row r="22">
      <c r="A22" s="264"/>
      <c r="B22" s="308"/>
      <c r="C22" s="309">
        <v>5.0</v>
      </c>
      <c r="D22" s="400" t="s">
        <v>172</v>
      </c>
      <c r="E22" s="244">
        <v>12.0</v>
      </c>
      <c r="F22" s="342">
        <v>45.0</v>
      </c>
      <c r="G22" s="318"/>
      <c r="H22" s="343">
        <v>20.0</v>
      </c>
      <c r="I22" s="342">
        <v>55.0</v>
      </c>
      <c r="J22" s="344"/>
      <c r="K22" s="311"/>
      <c r="L22" s="342"/>
      <c r="M22" s="318"/>
      <c r="N22" s="345"/>
      <c r="O22" s="346"/>
      <c r="P22" s="344"/>
      <c r="Q22" s="318"/>
      <c r="R22" s="346"/>
      <c r="S22" s="318"/>
      <c r="T22" s="319">
        <f t="shared" si="1"/>
        <v>1640</v>
      </c>
      <c r="U22" s="422"/>
      <c r="V22" s="265"/>
      <c r="W22" s="347">
        <v>1.0</v>
      </c>
      <c r="X22" s="348">
        <v>2.0</v>
      </c>
      <c r="Y22" s="349">
        <v>3.0</v>
      </c>
      <c r="Z22" s="350">
        <v>4.0</v>
      </c>
      <c r="AA22" s="351">
        <v>5.0</v>
      </c>
      <c r="AB22" s="352">
        <v>6.0</v>
      </c>
      <c r="AC22" s="353">
        <v>7.0</v>
      </c>
      <c r="AD22" s="354">
        <v>8.0</v>
      </c>
      <c r="AE22" s="355">
        <v>9.0</v>
      </c>
      <c r="AF22" s="356">
        <v>10.0</v>
      </c>
      <c r="AG22" s="293"/>
    </row>
    <row r="23">
      <c r="A23" s="264"/>
      <c r="B23" s="308"/>
      <c r="C23" s="330">
        <v>6.0</v>
      </c>
      <c r="D23" s="399" t="s">
        <v>174</v>
      </c>
      <c r="E23" s="424">
        <v>45999.0</v>
      </c>
      <c r="F23" s="333">
        <v>20.0</v>
      </c>
      <c r="G23" s="336"/>
      <c r="H23" s="334">
        <v>10.0</v>
      </c>
      <c r="I23" s="333">
        <v>20.0</v>
      </c>
      <c r="J23" s="339"/>
      <c r="K23" s="332"/>
      <c r="L23" s="333"/>
      <c r="M23" s="336"/>
      <c r="N23" s="337"/>
      <c r="O23" s="338"/>
      <c r="P23" s="339"/>
      <c r="Q23" s="336"/>
      <c r="R23" s="338"/>
      <c r="S23" s="336"/>
      <c r="T23" s="425">
        <f t="shared" si="1"/>
        <v>920180</v>
      </c>
      <c r="U23" s="422"/>
      <c r="V23" s="265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</row>
    <row r="24" ht="31.5" customHeight="1">
      <c r="A24" s="264"/>
      <c r="B24" s="308"/>
      <c r="C24" s="309">
        <v>7.0</v>
      </c>
      <c r="D24" s="404"/>
      <c r="E24" s="374"/>
      <c r="F24" s="383"/>
      <c r="G24" s="384"/>
      <c r="H24" s="385"/>
      <c r="I24" s="383"/>
      <c r="J24" s="344"/>
      <c r="K24" s="311"/>
      <c r="L24" s="342"/>
      <c r="M24" s="318"/>
      <c r="N24" s="345"/>
      <c r="O24" s="346"/>
      <c r="P24" s="344"/>
      <c r="Q24" s="318"/>
      <c r="R24" s="346"/>
      <c r="S24" s="318"/>
      <c r="T24" s="319">
        <f t="shared" si="1"/>
        <v>0</v>
      </c>
      <c r="U24" s="422"/>
      <c r="V24" s="265"/>
      <c r="W24" s="357" t="s">
        <v>231</v>
      </c>
      <c r="X24" s="268"/>
      <c r="Y24" s="268"/>
      <c r="Z24" s="268"/>
      <c r="AA24" s="268"/>
      <c r="AB24" s="268"/>
      <c r="AC24" s="268"/>
      <c r="AD24" s="268"/>
      <c r="AE24" s="268"/>
      <c r="AF24" s="57"/>
      <c r="AG24" s="293"/>
    </row>
    <row r="25">
      <c r="A25" s="264"/>
      <c r="B25" s="308"/>
      <c r="C25" s="330">
        <v>8.0</v>
      </c>
      <c r="D25" s="331"/>
      <c r="E25" s="336"/>
      <c r="F25" s="338"/>
      <c r="G25" s="336"/>
      <c r="H25" s="337"/>
      <c r="I25" s="338"/>
      <c r="J25" s="339"/>
      <c r="K25" s="336"/>
      <c r="L25" s="338"/>
      <c r="M25" s="336"/>
      <c r="N25" s="337"/>
      <c r="O25" s="338"/>
      <c r="P25" s="339"/>
      <c r="Q25" s="336"/>
      <c r="R25" s="338"/>
      <c r="S25" s="336"/>
      <c r="T25" s="319">
        <f t="shared" si="1"/>
        <v>0</v>
      </c>
      <c r="U25" s="422"/>
      <c r="V25" s="265"/>
      <c r="W25" s="359" t="s">
        <v>232</v>
      </c>
      <c r="X25" s="273"/>
      <c r="Y25" s="273"/>
      <c r="Z25" s="273"/>
      <c r="AA25" s="273"/>
      <c r="AB25" s="273"/>
      <c r="AC25" s="273"/>
      <c r="AD25" s="273"/>
      <c r="AE25" s="273"/>
      <c r="AF25" s="270"/>
      <c r="AG25" s="293"/>
    </row>
    <row r="26">
      <c r="A26" s="264"/>
      <c r="B26" s="308"/>
      <c r="C26" s="309">
        <v>9.0</v>
      </c>
      <c r="D26" s="360"/>
      <c r="E26" s="318"/>
      <c r="F26" s="346"/>
      <c r="G26" s="318"/>
      <c r="H26" s="345"/>
      <c r="I26" s="346"/>
      <c r="J26" s="344"/>
      <c r="K26" s="318"/>
      <c r="L26" s="346"/>
      <c r="M26" s="318"/>
      <c r="N26" s="345"/>
      <c r="O26" s="346"/>
      <c r="P26" s="344"/>
      <c r="Q26" s="318"/>
      <c r="R26" s="346"/>
      <c r="S26" s="318"/>
      <c r="T26" s="319">
        <f t="shared" si="1"/>
        <v>0</v>
      </c>
      <c r="U26" s="422"/>
      <c r="V26" s="265"/>
      <c r="W26" s="90"/>
      <c r="AF26" s="25"/>
      <c r="AG26" s="293"/>
    </row>
    <row r="27">
      <c r="A27" s="264"/>
      <c r="B27" s="308"/>
      <c r="C27" s="330">
        <v>10.0</v>
      </c>
      <c r="D27" s="358"/>
      <c r="E27" s="336"/>
      <c r="F27" s="338"/>
      <c r="G27" s="336"/>
      <c r="H27" s="337"/>
      <c r="I27" s="338"/>
      <c r="J27" s="339"/>
      <c r="K27" s="336"/>
      <c r="L27" s="338"/>
      <c r="M27" s="336"/>
      <c r="N27" s="337"/>
      <c r="O27" s="338"/>
      <c r="P27" s="339"/>
      <c r="Q27" s="336"/>
      <c r="R27" s="338"/>
      <c r="S27" s="336"/>
      <c r="T27" s="319">
        <f t="shared" si="1"/>
        <v>0</v>
      </c>
      <c r="U27" s="422"/>
      <c r="V27" s="265"/>
      <c r="W27" s="90"/>
      <c r="AF27" s="25"/>
      <c r="AG27" s="293"/>
    </row>
    <row r="28">
      <c r="A28" s="264"/>
      <c r="B28" s="361"/>
      <c r="C28" s="362">
        <v>11.0</v>
      </c>
      <c r="D28" s="363"/>
      <c r="E28" s="364"/>
      <c r="F28" s="365"/>
      <c r="G28" s="364"/>
      <c r="H28" s="366"/>
      <c r="I28" s="365"/>
      <c r="J28" s="367"/>
      <c r="K28" s="364"/>
      <c r="L28" s="365"/>
      <c r="M28" s="364"/>
      <c r="N28" s="366"/>
      <c r="O28" s="365"/>
      <c r="P28" s="367"/>
      <c r="Q28" s="364"/>
      <c r="R28" s="365"/>
      <c r="S28" s="364"/>
      <c r="T28" s="319">
        <f t="shared" si="1"/>
        <v>0</v>
      </c>
      <c r="U28" s="422"/>
      <c r="V28" s="265"/>
      <c r="W28" s="27"/>
      <c r="X28" s="22"/>
      <c r="Y28" s="22"/>
      <c r="Z28" s="22"/>
      <c r="AA28" s="22"/>
      <c r="AB28" s="22"/>
      <c r="AC28" s="22"/>
      <c r="AD28" s="22"/>
      <c r="AE28" s="22"/>
      <c r="AF28" s="28"/>
      <c r="AG28" s="293"/>
    </row>
    <row r="29">
      <c r="A29" s="264"/>
      <c r="B29" s="368"/>
      <c r="C29" s="265"/>
      <c r="D29" s="265"/>
      <c r="E29" s="265"/>
      <c r="F29" s="265"/>
      <c r="G29" s="265"/>
      <c r="H29" s="265"/>
      <c r="I29" s="292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</row>
    <row r="30">
      <c r="A30" s="264"/>
      <c r="B30" s="265"/>
      <c r="C30" s="294" t="s">
        <v>209</v>
      </c>
      <c r="D30" s="295"/>
      <c r="E30" s="296" t="s">
        <v>257</v>
      </c>
      <c r="F30" s="297"/>
      <c r="G30" s="297"/>
      <c r="H30" s="297"/>
      <c r="I30" s="297"/>
      <c r="J30" s="297"/>
      <c r="K30" s="297"/>
      <c r="L30" s="297"/>
      <c r="M30" s="282"/>
      <c r="N30" s="298" t="s">
        <v>211</v>
      </c>
      <c r="O30" s="268"/>
      <c r="P30" s="57"/>
      <c r="Q30" s="286"/>
      <c r="R30" s="268"/>
      <c r="S30" s="57"/>
      <c r="T30" s="292"/>
      <c r="U30" s="265"/>
      <c r="V30" s="265"/>
      <c r="W30" s="299" t="s">
        <v>213</v>
      </c>
      <c r="X30" s="268"/>
      <c r="Y30" s="268"/>
      <c r="Z30" s="268"/>
      <c r="AA30" s="268"/>
      <c r="AB30" s="57"/>
      <c r="AC30" s="300">
        <v>8.0</v>
      </c>
      <c r="AD30" s="273"/>
      <c r="AE30" s="273"/>
      <c r="AF30" s="270"/>
      <c r="AG30" s="293"/>
    </row>
    <row r="31">
      <c r="A31" s="264"/>
      <c r="B31" s="265"/>
      <c r="C31" s="301" t="s">
        <v>214</v>
      </c>
      <c r="D31" s="302">
        <v>45873.0</v>
      </c>
      <c r="E31" s="303" t="s">
        <v>215</v>
      </c>
      <c r="F31" s="22"/>
      <c r="G31" s="28"/>
      <c r="H31" s="304" t="s">
        <v>216</v>
      </c>
      <c r="I31" s="297"/>
      <c r="J31" s="282"/>
      <c r="K31" s="304" t="s">
        <v>217</v>
      </c>
      <c r="L31" s="297"/>
      <c r="M31" s="282"/>
      <c r="N31" s="304" t="s">
        <v>218</v>
      </c>
      <c r="O31" s="297"/>
      <c r="P31" s="282"/>
      <c r="Q31" s="304" t="s">
        <v>219</v>
      </c>
      <c r="R31" s="297"/>
      <c r="S31" s="282"/>
      <c r="T31" s="265"/>
      <c r="U31" s="265"/>
      <c r="V31" s="265"/>
      <c r="W31" s="64"/>
      <c r="AB31" s="63"/>
      <c r="AF31" s="25"/>
      <c r="AG31" s="293"/>
    </row>
    <row r="32">
      <c r="A32" s="264"/>
      <c r="B32" s="305" t="s">
        <v>234</v>
      </c>
      <c r="C32" s="306" t="s">
        <v>221</v>
      </c>
      <c r="D32" s="306" t="s">
        <v>222</v>
      </c>
      <c r="E32" s="301" t="s">
        <v>223</v>
      </c>
      <c r="F32" s="301" t="s">
        <v>224</v>
      </c>
      <c r="G32" s="301" t="s">
        <v>66</v>
      </c>
      <c r="H32" s="301" t="s">
        <v>223</v>
      </c>
      <c r="I32" s="301" t="s">
        <v>224</v>
      </c>
      <c r="J32" s="301" t="s">
        <v>66</v>
      </c>
      <c r="K32" s="301" t="s">
        <v>223</v>
      </c>
      <c r="L32" s="301" t="s">
        <v>224</v>
      </c>
      <c r="M32" s="301" t="s">
        <v>66</v>
      </c>
      <c r="N32" s="301" t="s">
        <v>223</v>
      </c>
      <c r="O32" s="301" t="s">
        <v>224</v>
      </c>
      <c r="P32" s="301" t="s">
        <v>66</v>
      </c>
      <c r="Q32" s="301" t="s">
        <v>223</v>
      </c>
      <c r="R32" s="301" t="s">
        <v>224</v>
      </c>
      <c r="S32" s="301" t="s">
        <v>66</v>
      </c>
      <c r="T32" s="307" t="s">
        <v>225</v>
      </c>
      <c r="U32" s="421" t="s">
        <v>263</v>
      </c>
      <c r="V32" s="265"/>
      <c r="W32" s="275"/>
      <c r="X32" s="276"/>
      <c r="Y32" s="276"/>
      <c r="Z32" s="276"/>
      <c r="AA32" s="276"/>
      <c r="AB32" s="291"/>
      <c r="AC32" s="22"/>
      <c r="AD32" s="22"/>
      <c r="AE32" s="22"/>
      <c r="AF32" s="28"/>
      <c r="AG32" s="293"/>
    </row>
    <row r="33">
      <c r="A33" s="264"/>
      <c r="B33" s="308"/>
      <c r="C33" s="309">
        <v>1.0</v>
      </c>
      <c r="D33" s="373" t="s">
        <v>127</v>
      </c>
      <c r="E33" s="256">
        <v>16.0</v>
      </c>
      <c r="F33" s="312">
        <v>10.0</v>
      </c>
      <c r="G33" s="318"/>
      <c r="H33" s="313">
        <v>15.0</v>
      </c>
      <c r="I33" s="312">
        <v>10.0</v>
      </c>
      <c r="J33" s="317"/>
      <c r="K33" s="311"/>
      <c r="L33" s="312"/>
      <c r="M33" s="318"/>
      <c r="N33" s="315"/>
      <c r="O33" s="316"/>
      <c r="P33" s="317"/>
      <c r="Q33" s="318"/>
      <c r="R33" s="316"/>
      <c r="S33" s="318"/>
      <c r="T33" s="319">
        <f t="shared" ref="T33:T43" si="2">(E33*F33)+(H33*I33)+(K33*L33)+(N33*O33)+(Q33*R33)</f>
        <v>310</v>
      </c>
      <c r="U33" s="422"/>
      <c r="V33" s="265"/>
      <c r="W33" s="320">
        <v>1.0</v>
      </c>
      <c r="X33" s="321">
        <v>2.0</v>
      </c>
      <c r="Y33" s="322">
        <v>3.0</v>
      </c>
      <c r="Z33" s="323">
        <v>4.0</v>
      </c>
      <c r="AA33" s="324">
        <v>5.0</v>
      </c>
      <c r="AB33" s="325">
        <v>6.0</v>
      </c>
      <c r="AC33" s="326">
        <v>7.0</v>
      </c>
      <c r="AD33" s="327">
        <v>8.0</v>
      </c>
      <c r="AE33" s="328">
        <v>9.0</v>
      </c>
      <c r="AF33" s="329">
        <v>10.0</v>
      </c>
      <c r="AG33" s="293"/>
    </row>
    <row r="34">
      <c r="A34" s="264"/>
      <c r="B34" s="308"/>
      <c r="C34" s="330">
        <v>2.0</v>
      </c>
      <c r="D34" s="377" t="s">
        <v>178</v>
      </c>
      <c r="E34" s="423">
        <v>10.0</v>
      </c>
      <c r="F34" s="333">
        <v>25.0</v>
      </c>
      <c r="G34" s="336"/>
      <c r="H34" s="334">
        <v>10.0</v>
      </c>
      <c r="I34" s="333">
        <v>25.0</v>
      </c>
      <c r="J34" s="339"/>
      <c r="K34" s="332"/>
      <c r="L34" s="333"/>
      <c r="M34" s="336"/>
      <c r="N34" s="337"/>
      <c r="O34" s="338"/>
      <c r="P34" s="339"/>
      <c r="Q34" s="336"/>
      <c r="R34" s="338"/>
      <c r="S34" s="336"/>
      <c r="T34" s="319">
        <f t="shared" si="2"/>
        <v>500</v>
      </c>
      <c r="U34" s="422"/>
      <c r="V34" s="265"/>
      <c r="W34" s="340" t="s">
        <v>227</v>
      </c>
      <c r="X34" s="268"/>
      <c r="Y34" s="268"/>
      <c r="Z34" s="268"/>
      <c r="AA34" s="268"/>
      <c r="AB34" s="57"/>
      <c r="AC34" s="300">
        <v>8.0</v>
      </c>
      <c r="AD34" s="273"/>
      <c r="AE34" s="273"/>
      <c r="AF34" s="270"/>
      <c r="AG34" s="293"/>
    </row>
    <row r="35">
      <c r="A35" s="264"/>
      <c r="B35" s="308"/>
      <c r="C35" s="309">
        <v>3.0</v>
      </c>
      <c r="D35" s="382" t="s">
        <v>179</v>
      </c>
      <c r="E35" s="259">
        <v>7.0</v>
      </c>
      <c r="F35" s="383">
        <v>60.0</v>
      </c>
      <c r="G35" s="318"/>
      <c r="H35" s="343">
        <v>7.0</v>
      </c>
      <c r="I35" s="342">
        <v>50.0</v>
      </c>
      <c r="J35" s="344"/>
      <c r="K35" s="311"/>
      <c r="L35" s="342"/>
      <c r="M35" s="318"/>
      <c r="N35" s="345"/>
      <c r="O35" s="346"/>
      <c r="P35" s="344"/>
      <c r="Q35" s="318"/>
      <c r="R35" s="346"/>
      <c r="S35" s="318"/>
      <c r="T35" s="319">
        <f t="shared" si="2"/>
        <v>770</v>
      </c>
      <c r="U35" s="422"/>
      <c r="V35" s="265"/>
      <c r="W35" s="64"/>
      <c r="AB35" s="63"/>
      <c r="AF35" s="25"/>
      <c r="AG35" s="293"/>
    </row>
    <row r="36">
      <c r="A36" s="264"/>
      <c r="B36" s="308"/>
      <c r="C36" s="330">
        <v>4.0</v>
      </c>
      <c r="D36" s="377" t="s">
        <v>180</v>
      </c>
      <c r="E36" s="423">
        <v>8.0</v>
      </c>
      <c r="F36" s="379">
        <v>30.0</v>
      </c>
      <c r="G36" s="336"/>
      <c r="H36" s="334">
        <v>8.0</v>
      </c>
      <c r="I36" s="333">
        <v>30.0</v>
      </c>
      <c r="J36" s="339"/>
      <c r="K36" s="332"/>
      <c r="L36" s="333"/>
      <c r="M36" s="336"/>
      <c r="N36" s="334"/>
      <c r="O36" s="333"/>
      <c r="P36" s="339"/>
      <c r="Q36" s="336"/>
      <c r="R36" s="338"/>
      <c r="S36" s="336"/>
      <c r="T36" s="319">
        <f t="shared" si="2"/>
        <v>480</v>
      </c>
      <c r="U36" s="422"/>
      <c r="V36" s="265"/>
      <c r="W36" s="275"/>
      <c r="X36" s="276"/>
      <c r="Y36" s="276"/>
      <c r="Z36" s="276"/>
      <c r="AA36" s="276"/>
      <c r="AB36" s="291"/>
      <c r="AC36" s="22"/>
      <c r="AD36" s="22"/>
      <c r="AE36" s="22"/>
      <c r="AF36" s="28"/>
      <c r="AG36" s="293"/>
    </row>
    <row r="37">
      <c r="A37" s="264"/>
      <c r="B37" s="308"/>
      <c r="C37" s="309">
        <v>5.0</v>
      </c>
      <c r="D37" s="382" t="s">
        <v>141</v>
      </c>
      <c r="E37" s="259">
        <v>12.0</v>
      </c>
      <c r="F37" s="383">
        <v>15.0</v>
      </c>
      <c r="G37" s="318"/>
      <c r="H37" s="343">
        <v>18.0</v>
      </c>
      <c r="I37" s="342">
        <v>15.0</v>
      </c>
      <c r="J37" s="344"/>
      <c r="K37" s="311"/>
      <c r="L37" s="342"/>
      <c r="M37" s="318"/>
      <c r="N37" s="345"/>
      <c r="O37" s="346"/>
      <c r="P37" s="344"/>
      <c r="Q37" s="318"/>
      <c r="R37" s="346"/>
      <c r="S37" s="318"/>
      <c r="T37" s="319">
        <f t="shared" si="2"/>
        <v>450</v>
      </c>
      <c r="U37" s="422"/>
      <c r="V37" s="265"/>
      <c r="W37" s="347">
        <v>1.0</v>
      </c>
      <c r="X37" s="348">
        <v>2.0</v>
      </c>
      <c r="Y37" s="349">
        <v>3.0</v>
      </c>
      <c r="Z37" s="350">
        <v>4.0</v>
      </c>
      <c r="AA37" s="351">
        <v>5.0</v>
      </c>
      <c r="AB37" s="352">
        <v>6.0</v>
      </c>
      <c r="AC37" s="353">
        <v>7.0</v>
      </c>
      <c r="AD37" s="354">
        <v>8.0</v>
      </c>
      <c r="AE37" s="355">
        <v>9.0</v>
      </c>
      <c r="AF37" s="356">
        <v>10.0</v>
      </c>
      <c r="AG37" s="293"/>
    </row>
    <row r="38">
      <c r="A38" s="264"/>
      <c r="B38" s="308"/>
      <c r="C38" s="330">
        <v>6.0</v>
      </c>
      <c r="D38" s="331" t="s">
        <v>139</v>
      </c>
      <c r="E38" s="423">
        <v>12.0</v>
      </c>
      <c r="F38" s="379">
        <v>40.0</v>
      </c>
      <c r="G38" s="336"/>
      <c r="H38" s="334">
        <v>14.0</v>
      </c>
      <c r="I38" s="333">
        <v>40.0</v>
      </c>
      <c r="J38" s="339"/>
      <c r="K38" s="336"/>
      <c r="L38" s="333"/>
      <c r="M38" s="336"/>
      <c r="N38" s="337"/>
      <c r="O38" s="338"/>
      <c r="P38" s="339"/>
      <c r="Q38" s="336"/>
      <c r="R38" s="338"/>
      <c r="S38" s="336"/>
      <c r="T38" s="319">
        <f t="shared" si="2"/>
        <v>1040</v>
      </c>
      <c r="U38" s="422"/>
      <c r="V38" s="265"/>
      <c r="W38" s="293"/>
      <c r="X38" s="293"/>
      <c r="Y38" s="293"/>
      <c r="Z38" s="293"/>
      <c r="AA38" s="293"/>
      <c r="AB38" s="293"/>
      <c r="AC38" s="293"/>
      <c r="AD38" s="293"/>
      <c r="AE38" s="293"/>
      <c r="AF38" s="293"/>
      <c r="AG38" s="293"/>
    </row>
    <row r="39">
      <c r="A39" s="264"/>
      <c r="B39" s="308"/>
      <c r="C39" s="309">
        <v>7.0</v>
      </c>
      <c r="D39" s="382" t="s">
        <v>88</v>
      </c>
      <c r="E39" s="259">
        <v>14.0</v>
      </c>
      <c r="F39" s="383">
        <v>8.0</v>
      </c>
      <c r="G39" s="318"/>
      <c r="H39" s="343">
        <v>16.0</v>
      </c>
      <c r="I39" s="342">
        <v>8.0</v>
      </c>
      <c r="J39" s="344"/>
      <c r="K39" s="318"/>
      <c r="L39" s="346"/>
      <c r="M39" s="318"/>
      <c r="N39" s="345"/>
      <c r="O39" s="346"/>
      <c r="P39" s="344"/>
      <c r="Q39" s="318"/>
      <c r="R39" s="346"/>
      <c r="S39" s="318"/>
      <c r="T39" s="319">
        <f t="shared" si="2"/>
        <v>240</v>
      </c>
      <c r="U39" s="422"/>
      <c r="V39" s="265"/>
      <c r="W39" s="357" t="s">
        <v>231</v>
      </c>
      <c r="X39" s="268"/>
      <c r="Y39" s="268"/>
      <c r="Z39" s="268"/>
      <c r="AA39" s="268"/>
      <c r="AB39" s="268"/>
      <c r="AC39" s="268"/>
      <c r="AD39" s="268"/>
      <c r="AE39" s="268"/>
      <c r="AF39" s="57"/>
      <c r="AG39" s="293"/>
    </row>
    <row r="40">
      <c r="A40" s="264"/>
      <c r="B40" s="308"/>
      <c r="C40" s="330">
        <v>8.0</v>
      </c>
      <c r="D40" s="358"/>
      <c r="E40" s="336"/>
      <c r="F40" s="338"/>
      <c r="G40" s="336"/>
      <c r="H40" s="337"/>
      <c r="I40" s="338"/>
      <c r="J40" s="339"/>
      <c r="K40" s="336"/>
      <c r="L40" s="338"/>
      <c r="M40" s="336"/>
      <c r="N40" s="337"/>
      <c r="O40" s="338"/>
      <c r="P40" s="339"/>
      <c r="Q40" s="336"/>
      <c r="R40" s="338"/>
      <c r="S40" s="336"/>
      <c r="T40" s="319">
        <f t="shared" si="2"/>
        <v>0</v>
      </c>
      <c r="U40" s="422"/>
      <c r="V40" s="265"/>
      <c r="W40" s="370"/>
      <c r="X40" s="273"/>
      <c r="Y40" s="273"/>
      <c r="Z40" s="273"/>
      <c r="AA40" s="273"/>
      <c r="AB40" s="273"/>
      <c r="AC40" s="273"/>
      <c r="AD40" s="273"/>
      <c r="AE40" s="273"/>
      <c r="AF40" s="270"/>
      <c r="AG40" s="293"/>
    </row>
    <row r="41">
      <c r="A41" s="264"/>
      <c r="B41" s="308"/>
      <c r="C41" s="309">
        <v>9.0</v>
      </c>
      <c r="D41" s="360"/>
      <c r="E41" s="318"/>
      <c r="F41" s="346"/>
      <c r="G41" s="318"/>
      <c r="H41" s="345"/>
      <c r="I41" s="346"/>
      <c r="J41" s="344"/>
      <c r="K41" s="318"/>
      <c r="L41" s="346"/>
      <c r="M41" s="318"/>
      <c r="N41" s="345"/>
      <c r="O41" s="346"/>
      <c r="P41" s="344"/>
      <c r="Q41" s="318"/>
      <c r="R41" s="346"/>
      <c r="S41" s="318"/>
      <c r="T41" s="319">
        <f t="shared" si="2"/>
        <v>0</v>
      </c>
      <c r="U41" s="422"/>
      <c r="V41" s="265"/>
      <c r="W41" s="90"/>
      <c r="AF41" s="25"/>
      <c r="AG41" s="293"/>
    </row>
    <row r="42">
      <c r="A42" s="264"/>
      <c r="B42" s="308"/>
      <c r="C42" s="330">
        <v>10.0</v>
      </c>
      <c r="D42" s="358"/>
      <c r="E42" s="336"/>
      <c r="F42" s="338"/>
      <c r="G42" s="336"/>
      <c r="H42" s="337"/>
      <c r="I42" s="338"/>
      <c r="J42" s="339"/>
      <c r="K42" s="336"/>
      <c r="L42" s="338"/>
      <c r="M42" s="336"/>
      <c r="N42" s="337"/>
      <c r="O42" s="338"/>
      <c r="P42" s="339"/>
      <c r="Q42" s="336"/>
      <c r="R42" s="338"/>
      <c r="S42" s="336"/>
      <c r="T42" s="319">
        <f t="shared" si="2"/>
        <v>0</v>
      </c>
      <c r="U42" s="422"/>
      <c r="V42" s="265"/>
      <c r="W42" s="90"/>
      <c r="AF42" s="25"/>
      <c r="AG42" s="293"/>
    </row>
    <row r="43">
      <c r="A43" s="264"/>
      <c r="B43" s="361"/>
      <c r="C43" s="362">
        <v>11.0</v>
      </c>
      <c r="D43" s="363"/>
      <c r="E43" s="364"/>
      <c r="F43" s="365"/>
      <c r="G43" s="364"/>
      <c r="H43" s="366"/>
      <c r="I43" s="365"/>
      <c r="J43" s="367"/>
      <c r="K43" s="364"/>
      <c r="L43" s="365"/>
      <c r="M43" s="364"/>
      <c r="N43" s="366"/>
      <c r="O43" s="365"/>
      <c r="P43" s="367"/>
      <c r="Q43" s="364"/>
      <c r="R43" s="365"/>
      <c r="S43" s="364"/>
      <c r="T43" s="319">
        <f t="shared" si="2"/>
        <v>0</v>
      </c>
      <c r="U43" s="422"/>
      <c r="V43" s="265"/>
      <c r="W43" s="27"/>
      <c r="X43" s="22"/>
      <c r="Y43" s="22"/>
      <c r="Z43" s="22"/>
      <c r="AA43" s="22"/>
      <c r="AB43" s="22"/>
      <c r="AC43" s="22"/>
      <c r="AD43" s="22"/>
      <c r="AE43" s="22"/>
      <c r="AF43" s="28"/>
      <c r="AG43" s="293"/>
    </row>
    <row r="44">
      <c r="A44" s="264"/>
      <c r="B44" s="368"/>
      <c r="C44" s="265"/>
      <c r="D44" s="265"/>
      <c r="E44" s="265"/>
      <c r="F44" s="265"/>
      <c r="G44" s="265"/>
      <c r="H44" s="265"/>
      <c r="I44" s="265"/>
      <c r="J44" s="265"/>
      <c r="K44" s="292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93"/>
      <c r="X44" s="293"/>
      <c r="Y44" s="293"/>
      <c r="Z44" s="293"/>
      <c r="AA44" s="293"/>
      <c r="AB44" s="293"/>
      <c r="AC44" s="293"/>
      <c r="AD44" s="371"/>
      <c r="AE44" s="293"/>
      <c r="AF44" s="293"/>
      <c r="AG44" s="293"/>
    </row>
    <row r="45">
      <c r="A45" s="264"/>
      <c r="B45" s="265"/>
      <c r="C45" s="294" t="s">
        <v>209</v>
      </c>
      <c r="D45" s="295"/>
      <c r="E45" s="296" t="s">
        <v>244</v>
      </c>
      <c r="F45" s="297"/>
      <c r="G45" s="297"/>
      <c r="H45" s="297"/>
      <c r="I45" s="297"/>
      <c r="J45" s="297"/>
      <c r="K45" s="297"/>
      <c r="L45" s="297"/>
      <c r="M45" s="282"/>
      <c r="N45" s="298" t="s">
        <v>211</v>
      </c>
      <c r="O45" s="268"/>
      <c r="P45" s="57"/>
      <c r="Q45" s="286"/>
      <c r="R45" s="268"/>
      <c r="S45" s="57"/>
      <c r="T45" s="292"/>
      <c r="U45" s="265"/>
      <c r="V45" s="265"/>
      <c r="W45" s="299" t="s">
        <v>213</v>
      </c>
      <c r="X45" s="268"/>
      <c r="Y45" s="268"/>
      <c r="Z45" s="268"/>
      <c r="AA45" s="268"/>
      <c r="AB45" s="57"/>
      <c r="AC45" s="300">
        <v>10.0</v>
      </c>
      <c r="AD45" s="273"/>
      <c r="AE45" s="273"/>
      <c r="AF45" s="270"/>
      <c r="AG45" s="293"/>
    </row>
    <row r="46">
      <c r="A46" s="264"/>
      <c r="B46" s="265"/>
      <c r="C46" s="301" t="s">
        <v>214</v>
      </c>
      <c r="D46" s="372">
        <v>45878.0</v>
      </c>
      <c r="E46" s="303" t="s">
        <v>215</v>
      </c>
      <c r="F46" s="22"/>
      <c r="G46" s="28"/>
      <c r="H46" s="304" t="s">
        <v>216</v>
      </c>
      <c r="I46" s="297"/>
      <c r="J46" s="282"/>
      <c r="K46" s="304" t="s">
        <v>217</v>
      </c>
      <c r="L46" s="297"/>
      <c r="M46" s="282"/>
      <c r="N46" s="304" t="s">
        <v>218</v>
      </c>
      <c r="O46" s="297"/>
      <c r="P46" s="282"/>
      <c r="Q46" s="304" t="s">
        <v>219</v>
      </c>
      <c r="R46" s="297"/>
      <c r="S46" s="282"/>
      <c r="T46" s="265"/>
      <c r="U46" s="265"/>
      <c r="V46" s="265"/>
      <c r="W46" s="64"/>
      <c r="AB46" s="63"/>
      <c r="AF46" s="25"/>
      <c r="AG46" s="293"/>
    </row>
    <row r="47">
      <c r="A47" s="264"/>
      <c r="B47" s="305" t="s">
        <v>242</v>
      </c>
      <c r="C47" s="306" t="s">
        <v>221</v>
      </c>
      <c r="D47" s="306" t="s">
        <v>222</v>
      </c>
      <c r="E47" s="301" t="s">
        <v>223</v>
      </c>
      <c r="F47" s="301" t="s">
        <v>224</v>
      </c>
      <c r="G47" s="301" t="s">
        <v>66</v>
      </c>
      <c r="H47" s="301" t="s">
        <v>223</v>
      </c>
      <c r="I47" s="301" t="s">
        <v>224</v>
      </c>
      <c r="J47" s="301" t="s">
        <v>66</v>
      </c>
      <c r="K47" s="301" t="s">
        <v>223</v>
      </c>
      <c r="L47" s="301" t="s">
        <v>224</v>
      </c>
      <c r="M47" s="301" t="s">
        <v>66</v>
      </c>
      <c r="N47" s="301" t="s">
        <v>223</v>
      </c>
      <c r="O47" s="301" t="s">
        <v>224</v>
      </c>
      <c r="P47" s="301" t="s">
        <v>66</v>
      </c>
      <c r="Q47" s="301" t="s">
        <v>223</v>
      </c>
      <c r="R47" s="301" t="s">
        <v>224</v>
      </c>
      <c r="S47" s="301" t="s">
        <v>66</v>
      </c>
      <c r="T47" s="307" t="s">
        <v>225</v>
      </c>
      <c r="U47" s="421" t="s">
        <v>263</v>
      </c>
      <c r="V47" s="265"/>
      <c r="W47" s="275"/>
      <c r="X47" s="276"/>
      <c r="Y47" s="276"/>
      <c r="Z47" s="276"/>
      <c r="AA47" s="276"/>
      <c r="AB47" s="291"/>
      <c r="AC47" s="22"/>
      <c r="AD47" s="22"/>
      <c r="AE47" s="22"/>
      <c r="AF47" s="28"/>
      <c r="AG47" s="293"/>
    </row>
    <row r="48">
      <c r="A48" s="264"/>
      <c r="B48" s="308"/>
      <c r="C48" s="309">
        <v>1.0</v>
      </c>
      <c r="D48" s="373" t="s">
        <v>167</v>
      </c>
      <c r="E48" s="374">
        <v>12.0</v>
      </c>
      <c r="F48" s="375">
        <v>55.0</v>
      </c>
      <c r="G48" s="384"/>
      <c r="H48" s="376">
        <v>15.0</v>
      </c>
      <c r="I48" s="375">
        <v>55.0</v>
      </c>
      <c r="J48" s="317"/>
      <c r="K48" s="311"/>
      <c r="L48" s="312"/>
      <c r="M48" s="318"/>
      <c r="N48" s="315"/>
      <c r="O48" s="316"/>
      <c r="P48" s="317"/>
      <c r="Q48" s="318"/>
      <c r="R48" s="316"/>
      <c r="S48" s="318"/>
      <c r="T48" s="426">
        <f t="shared" ref="T48:T58" si="3">(E48*F48)+(H48*I48)+(K48*L48)+(N48*O48)+(Q48*R48)</f>
        <v>1485</v>
      </c>
      <c r="U48" s="422"/>
      <c r="V48" s="265"/>
      <c r="W48" s="320">
        <v>1.0</v>
      </c>
      <c r="X48" s="321">
        <v>2.0</v>
      </c>
      <c r="Y48" s="322">
        <v>3.0</v>
      </c>
      <c r="Z48" s="323">
        <v>4.0</v>
      </c>
      <c r="AA48" s="324">
        <v>5.0</v>
      </c>
      <c r="AB48" s="325">
        <v>6.0</v>
      </c>
      <c r="AC48" s="326">
        <v>7.0</v>
      </c>
      <c r="AD48" s="327">
        <v>8.0</v>
      </c>
      <c r="AE48" s="328">
        <v>9.0</v>
      </c>
      <c r="AF48" s="329">
        <v>10.0</v>
      </c>
      <c r="AG48" s="293"/>
    </row>
    <row r="49">
      <c r="A49" s="264"/>
      <c r="B49" s="308"/>
      <c r="C49" s="330">
        <v>2.0</v>
      </c>
      <c r="D49" s="377" t="s">
        <v>189</v>
      </c>
      <c r="E49" s="378">
        <v>9.0</v>
      </c>
      <c r="F49" s="379">
        <v>30.0</v>
      </c>
      <c r="G49" s="380"/>
      <c r="H49" s="381">
        <v>12.0</v>
      </c>
      <c r="I49" s="379">
        <v>25.0</v>
      </c>
      <c r="J49" s="339"/>
      <c r="K49" s="332">
        <v>18.0</v>
      </c>
      <c r="L49" s="333">
        <v>25.0</v>
      </c>
      <c r="M49" s="336"/>
      <c r="N49" s="337"/>
      <c r="O49" s="338"/>
      <c r="P49" s="339"/>
      <c r="Q49" s="336"/>
      <c r="R49" s="338"/>
      <c r="S49" s="336"/>
      <c r="T49" s="426">
        <f t="shared" si="3"/>
        <v>1020</v>
      </c>
      <c r="U49" s="422"/>
      <c r="V49" s="265"/>
      <c r="W49" s="340" t="s">
        <v>227</v>
      </c>
      <c r="X49" s="268"/>
      <c r="Y49" s="268"/>
      <c r="Z49" s="268"/>
      <c r="AA49" s="268"/>
      <c r="AB49" s="57"/>
      <c r="AC49" s="300">
        <v>7.0</v>
      </c>
      <c r="AD49" s="273"/>
      <c r="AE49" s="273"/>
      <c r="AF49" s="270"/>
      <c r="AG49" s="293"/>
    </row>
    <row r="50">
      <c r="A50" s="264"/>
      <c r="B50" s="308"/>
      <c r="C50" s="309">
        <v>3.0</v>
      </c>
      <c r="D50" s="382" t="s">
        <v>190</v>
      </c>
      <c r="E50" s="374">
        <v>16.0</v>
      </c>
      <c r="F50" s="383">
        <v>40.0</v>
      </c>
      <c r="G50" s="384"/>
      <c r="H50" s="385">
        <v>20.0</v>
      </c>
      <c r="I50" s="383">
        <v>40.0</v>
      </c>
      <c r="J50" s="344"/>
      <c r="K50" s="311"/>
      <c r="L50" s="342"/>
      <c r="M50" s="318"/>
      <c r="N50" s="345"/>
      <c r="O50" s="346"/>
      <c r="P50" s="344"/>
      <c r="Q50" s="318"/>
      <c r="R50" s="346"/>
      <c r="S50" s="318"/>
      <c r="T50" s="426">
        <f t="shared" si="3"/>
        <v>1440</v>
      </c>
      <c r="U50" s="422"/>
      <c r="V50" s="265"/>
      <c r="W50" s="64"/>
      <c r="AB50" s="63"/>
      <c r="AF50" s="25"/>
      <c r="AG50" s="293"/>
    </row>
    <row r="51">
      <c r="A51" s="264"/>
      <c r="B51" s="308"/>
      <c r="C51" s="330">
        <v>4.0</v>
      </c>
      <c r="D51" s="377" t="s">
        <v>191</v>
      </c>
      <c r="E51" s="378">
        <v>10.0</v>
      </c>
      <c r="F51" s="379">
        <v>40.0</v>
      </c>
      <c r="G51" s="380"/>
      <c r="H51" s="381">
        <v>10.0</v>
      </c>
      <c r="I51" s="379">
        <v>60.0</v>
      </c>
      <c r="J51" s="339"/>
      <c r="K51" s="332"/>
      <c r="L51" s="333"/>
      <c r="M51" s="336"/>
      <c r="N51" s="337"/>
      <c r="O51" s="338"/>
      <c r="P51" s="339"/>
      <c r="Q51" s="336"/>
      <c r="R51" s="338"/>
      <c r="S51" s="336"/>
      <c r="T51" s="426">
        <f t="shared" si="3"/>
        <v>1000</v>
      </c>
      <c r="U51" s="422"/>
      <c r="V51" s="265"/>
      <c r="W51" s="275"/>
      <c r="X51" s="276"/>
      <c r="Y51" s="276"/>
      <c r="Z51" s="276"/>
      <c r="AA51" s="276"/>
      <c r="AB51" s="291"/>
      <c r="AC51" s="22"/>
      <c r="AD51" s="22"/>
      <c r="AE51" s="22"/>
      <c r="AF51" s="28"/>
      <c r="AG51" s="293"/>
    </row>
    <row r="52">
      <c r="A52" s="264"/>
      <c r="B52" s="308"/>
      <c r="C52" s="309">
        <v>5.0</v>
      </c>
      <c r="D52" s="382" t="s">
        <v>192</v>
      </c>
      <c r="E52" s="374">
        <v>8.0</v>
      </c>
      <c r="F52" s="383">
        <v>40.0</v>
      </c>
      <c r="G52" s="384"/>
      <c r="H52" s="385">
        <v>8.0</v>
      </c>
      <c r="I52" s="383">
        <v>40.0</v>
      </c>
      <c r="J52" s="344"/>
      <c r="K52" s="311"/>
      <c r="L52" s="342"/>
      <c r="M52" s="318"/>
      <c r="N52" s="343"/>
      <c r="O52" s="342"/>
      <c r="P52" s="344"/>
      <c r="Q52" s="318"/>
      <c r="R52" s="346"/>
      <c r="S52" s="318"/>
      <c r="T52" s="426">
        <f t="shared" si="3"/>
        <v>640</v>
      </c>
      <c r="U52" s="422"/>
      <c r="V52" s="265"/>
      <c r="W52" s="347">
        <v>1.0</v>
      </c>
      <c r="X52" s="348">
        <v>2.0</v>
      </c>
      <c r="Y52" s="349">
        <v>3.0</v>
      </c>
      <c r="Z52" s="350">
        <v>4.0</v>
      </c>
      <c r="AA52" s="351">
        <v>5.0</v>
      </c>
      <c r="AB52" s="352">
        <v>6.0</v>
      </c>
      <c r="AC52" s="353">
        <v>7.0</v>
      </c>
      <c r="AD52" s="354">
        <v>8.0</v>
      </c>
      <c r="AE52" s="355">
        <v>9.0</v>
      </c>
      <c r="AF52" s="356">
        <v>10.0</v>
      </c>
      <c r="AG52" s="293"/>
    </row>
    <row r="53">
      <c r="A53" s="264"/>
      <c r="B53" s="308"/>
      <c r="C53" s="330">
        <v>6.0</v>
      </c>
      <c r="D53" s="331" t="s">
        <v>115</v>
      </c>
      <c r="E53" s="378">
        <v>12.0</v>
      </c>
      <c r="F53" s="379">
        <v>90.0</v>
      </c>
      <c r="G53" s="380"/>
      <c r="H53" s="381">
        <v>19.0</v>
      </c>
      <c r="I53" s="379">
        <v>90.0</v>
      </c>
      <c r="J53" s="339"/>
      <c r="K53" s="332"/>
      <c r="L53" s="333"/>
      <c r="M53" s="336"/>
      <c r="N53" s="337"/>
      <c r="O53" s="338"/>
      <c r="P53" s="339"/>
      <c r="Q53" s="336"/>
      <c r="R53" s="338"/>
      <c r="S53" s="336"/>
      <c r="T53" s="426">
        <f t="shared" si="3"/>
        <v>2790</v>
      </c>
      <c r="U53" s="422"/>
      <c r="V53" s="265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</row>
    <row r="54" ht="33.0" customHeight="1">
      <c r="A54" s="264"/>
      <c r="B54" s="308"/>
      <c r="C54" s="309">
        <v>7.0</v>
      </c>
      <c r="D54" s="382"/>
      <c r="E54" s="345"/>
      <c r="F54" s="346"/>
      <c r="G54" s="318"/>
      <c r="H54" s="345"/>
      <c r="I54" s="346"/>
      <c r="J54" s="344"/>
      <c r="K54" s="318"/>
      <c r="L54" s="346"/>
      <c r="M54" s="318"/>
      <c r="N54" s="345"/>
      <c r="O54" s="346"/>
      <c r="P54" s="344"/>
      <c r="Q54" s="318"/>
      <c r="R54" s="346"/>
      <c r="S54" s="318"/>
      <c r="T54" s="426">
        <f t="shared" si="3"/>
        <v>0</v>
      </c>
      <c r="U54" s="422"/>
      <c r="V54" s="265"/>
      <c r="W54" s="357" t="s">
        <v>231</v>
      </c>
      <c r="X54" s="268"/>
      <c r="Y54" s="268"/>
      <c r="Z54" s="268"/>
      <c r="AA54" s="268"/>
      <c r="AB54" s="268"/>
      <c r="AC54" s="268"/>
      <c r="AD54" s="268"/>
      <c r="AE54" s="268"/>
      <c r="AF54" s="57"/>
      <c r="AG54" s="293"/>
    </row>
    <row r="55">
      <c r="A55" s="264"/>
      <c r="B55" s="308"/>
      <c r="C55" s="330">
        <v>8.0</v>
      </c>
      <c r="D55" s="358"/>
      <c r="E55" s="336"/>
      <c r="F55" s="338"/>
      <c r="G55" s="336"/>
      <c r="H55" s="337"/>
      <c r="I55" s="338"/>
      <c r="J55" s="339"/>
      <c r="K55" s="336"/>
      <c r="L55" s="338"/>
      <c r="M55" s="336"/>
      <c r="N55" s="337"/>
      <c r="O55" s="338"/>
      <c r="P55" s="339"/>
      <c r="Q55" s="336"/>
      <c r="R55" s="338"/>
      <c r="S55" s="336"/>
      <c r="T55" s="426">
        <f t="shared" si="3"/>
        <v>0</v>
      </c>
      <c r="U55" s="422"/>
      <c r="V55" s="265"/>
      <c r="W55" s="370"/>
      <c r="X55" s="273"/>
      <c r="Y55" s="273"/>
      <c r="Z55" s="273"/>
      <c r="AA55" s="273"/>
      <c r="AB55" s="273"/>
      <c r="AC55" s="273"/>
      <c r="AD55" s="273"/>
      <c r="AE55" s="273"/>
      <c r="AF55" s="270"/>
      <c r="AG55" s="293"/>
    </row>
    <row r="56">
      <c r="A56" s="264"/>
      <c r="B56" s="308"/>
      <c r="C56" s="309">
        <v>9.0</v>
      </c>
      <c r="D56" s="360"/>
      <c r="E56" s="318"/>
      <c r="F56" s="346"/>
      <c r="G56" s="318"/>
      <c r="H56" s="345"/>
      <c r="I56" s="346"/>
      <c r="J56" s="344"/>
      <c r="K56" s="318"/>
      <c r="L56" s="346"/>
      <c r="M56" s="318"/>
      <c r="N56" s="345"/>
      <c r="O56" s="346"/>
      <c r="P56" s="344"/>
      <c r="Q56" s="318"/>
      <c r="R56" s="346"/>
      <c r="S56" s="318"/>
      <c r="T56" s="426">
        <f t="shared" si="3"/>
        <v>0</v>
      </c>
      <c r="U56" s="422"/>
      <c r="V56" s="265"/>
      <c r="W56" s="90"/>
      <c r="AF56" s="25"/>
      <c r="AG56" s="293"/>
    </row>
    <row r="57">
      <c r="A57" s="264"/>
      <c r="B57" s="308"/>
      <c r="C57" s="330">
        <v>10.0</v>
      </c>
      <c r="D57" s="358"/>
      <c r="E57" s="336"/>
      <c r="F57" s="338"/>
      <c r="G57" s="336"/>
      <c r="H57" s="337"/>
      <c r="I57" s="338"/>
      <c r="J57" s="339"/>
      <c r="K57" s="336"/>
      <c r="L57" s="338"/>
      <c r="M57" s="336"/>
      <c r="N57" s="337"/>
      <c r="O57" s="338"/>
      <c r="P57" s="339"/>
      <c r="Q57" s="336"/>
      <c r="R57" s="338"/>
      <c r="S57" s="336"/>
      <c r="T57" s="426">
        <f t="shared" si="3"/>
        <v>0</v>
      </c>
      <c r="U57" s="422"/>
      <c r="V57" s="265"/>
      <c r="W57" s="90"/>
      <c r="AF57" s="25"/>
      <c r="AG57" s="293"/>
    </row>
    <row r="58">
      <c r="A58" s="264"/>
      <c r="B58" s="361"/>
      <c r="C58" s="362">
        <v>11.0</v>
      </c>
      <c r="D58" s="363"/>
      <c r="E58" s="364"/>
      <c r="F58" s="365"/>
      <c r="G58" s="364"/>
      <c r="H58" s="366"/>
      <c r="I58" s="365"/>
      <c r="J58" s="367"/>
      <c r="K58" s="364"/>
      <c r="L58" s="365"/>
      <c r="M58" s="364"/>
      <c r="N58" s="366"/>
      <c r="O58" s="365"/>
      <c r="P58" s="367"/>
      <c r="Q58" s="364"/>
      <c r="R58" s="365"/>
      <c r="S58" s="364"/>
      <c r="T58" s="426">
        <f t="shared" si="3"/>
        <v>0</v>
      </c>
      <c r="U58" s="422"/>
      <c r="V58" s="265"/>
      <c r="W58" s="27"/>
      <c r="X58" s="22"/>
      <c r="Y58" s="22"/>
      <c r="Z58" s="22"/>
      <c r="AA58" s="22"/>
      <c r="AB58" s="22"/>
      <c r="AC58" s="22"/>
      <c r="AD58" s="22"/>
      <c r="AE58" s="22"/>
      <c r="AF58" s="28"/>
      <c r="AG58" s="293"/>
    </row>
    <row r="59">
      <c r="A59" s="264"/>
      <c r="B59" s="368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</row>
    <row r="60">
      <c r="A60" s="264"/>
      <c r="B60" s="265"/>
      <c r="C60" s="294" t="s">
        <v>209</v>
      </c>
      <c r="D60" s="295"/>
      <c r="E60" s="296" t="s">
        <v>248</v>
      </c>
      <c r="F60" s="297"/>
      <c r="G60" s="297"/>
      <c r="H60" s="297"/>
      <c r="I60" s="297"/>
      <c r="J60" s="297"/>
      <c r="K60" s="297"/>
      <c r="L60" s="297"/>
      <c r="M60" s="282"/>
      <c r="N60" s="298" t="s">
        <v>211</v>
      </c>
      <c r="O60" s="268"/>
      <c r="P60" s="57"/>
      <c r="Q60" s="286"/>
      <c r="R60" s="268"/>
      <c r="S60" s="57"/>
      <c r="T60" s="292"/>
      <c r="U60" s="265"/>
      <c r="V60" s="265"/>
      <c r="W60" s="299" t="s">
        <v>213</v>
      </c>
      <c r="X60" s="268"/>
      <c r="Y60" s="268"/>
      <c r="Z60" s="268"/>
      <c r="AA60" s="268"/>
      <c r="AB60" s="57"/>
      <c r="AC60" s="300">
        <v>5.0</v>
      </c>
      <c r="AD60" s="273"/>
      <c r="AE60" s="273"/>
      <c r="AF60" s="270"/>
      <c r="AG60" s="293"/>
    </row>
    <row r="61">
      <c r="A61" s="264"/>
      <c r="B61" s="265"/>
      <c r="C61" s="301" t="s">
        <v>214</v>
      </c>
      <c r="D61" s="372">
        <v>45879.0</v>
      </c>
      <c r="E61" s="303" t="s">
        <v>215</v>
      </c>
      <c r="F61" s="22"/>
      <c r="G61" s="28"/>
      <c r="H61" s="304" t="s">
        <v>216</v>
      </c>
      <c r="I61" s="297"/>
      <c r="J61" s="282"/>
      <c r="K61" s="304" t="s">
        <v>217</v>
      </c>
      <c r="L61" s="297"/>
      <c r="M61" s="282"/>
      <c r="N61" s="304" t="s">
        <v>218</v>
      </c>
      <c r="O61" s="297"/>
      <c r="P61" s="282"/>
      <c r="Q61" s="304" t="s">
        <v>219</v>
      </c>
      <c r="R61" s="297"/>
      <c r="S61" s="282"/>
      <c r="T61" s="265"/>
      <c r="U61" s="265"/>
      <c r="V61" s="265"/>
      <c r="W61" s="64"/>
      <c r="AB61" s="63"/>
      <c r="AF61" s="25"/>
      <c r="AG61" s="293"/>
    </row>
    <row r="62">
      <c r="A62" s="264"/>
      <c r="B62" s="305" t="s">
        <v>245</v>
      </c>
      <c r="C62" s="306" t="s">
        <v>221</v>
      </c>
      <c r="D62" s="306" t="s">
        <v>222</v>
      </c>
      <c r="E62" s="301" t="s">
        <v>223</v>
      </c>
      <c r="F62" s="301" t="s">
        <v>224</v>
      </c>
      <c r="G62" s="301" t="s">
        <v>66</v>
      </c>
      <c r="H62" s="301" t="s">
        <v>223</v>
      </c>
      <c r="I62" s="301" t="s">
        <v>224</v>
      </c>
      <c r="J62" s="301" t="s">
        <v>66</v>
      </c>
      <c r="K62" s="301" t="s">
        <v>223</v>
      </c>
      <c r="L62" s="301" t="s">
        <v>224</v>
      </c>
      <c r="M62" s="301" t="s">
        <v>66</v>
      </c>
      <c r="N62" s="301" t="s">
        <v>223</v>
      </c>
      <c r="O62" s="301" t="s">
        <v>224</v>
      </c>
      <c r="P62" s="301" t="s">
        <v>66</v>
      </c>
      <c r="Q62" s="301" t="s">
        <v>223</v>
      </c>
      <c r="R62" s="301" t="s">
        <v>224</v>
      </c>
      <c r="S62" s="301" t="s">
        <v>66</v>
      </c>
      <c r="T62" s="307" t="s">
        <v>225</v>
      </c>
      <c r="U62" s="421" t="s">
        <v>263</v>
      </c>
      <c r="V62" s="265"/>
      <c r="W62" s="275"/>
      <c r="X62" s="276"/>
      <c r="Y62" s="276"/>
      <c r="Z62" s="276"/>
      <c r="AA62" s="276"/>
      <c r="AB62" s="291"/>
      <c r="AC62" s="22"/>
      <c r="AD62" s="22"/>
      <c r="AE62" s="22"/>
      <c r="AF62" s="28"/>
      <c r="AG62" s="293"/>
    </row>
    <row r="63" ht="33.75" customHeight="1">
      <c r="A63" s="264"/>
      <c r="B63" s="308"/>
      <c r="C63" s="309">
        <v>1.0</v>
      </c>
      <c r="D63" s="373" t="s">
        <v>130</v>
      </c>
      <c r="E63" s="259">
        <v>12.0</v>
      </c>
      <c r="F63" s="375">
        <v>12.0</v>
      </c>
      <c r="G63" s="384"/>
      <c r="H63" s="376">
        <v>12.0</v>
      </c>
      <c r="I63" s="375">
        <v>12.0</v>
      </c>
      <c r="J63" s="317"/>
      <c r="K63" s="311"/>
      <c r="L63" s="312"/>
      <c r="M63" s="318"/>
      <c r="N63" s="315"/>
      <c r="O63" s="316"/>
      <c r="P63" s="317"/>
      <c r="Q63" s="318"/>
      <c r="R63" s="316"/>
      <c r="S63" s="318"/>
      <c r="T63" s="319">
        <f t="shared" ref="T63:T73" si="4">(E63*F63)+(H63*I63)+(K63*L63)+(N63*O63)+(Q63*R63)</f>
        <v>288</v>
      </c>
      <c r="U63" s="422"/>
      <c r="V63" s="265"/>
      <c r="W63" s="320">
        <v>1.0</v>
      </c>
      <c r="X63" s="321">
        <v>2.0</v>
      </c>
      <c r="Y63" s="322">
        <v>3.0</v>
      </c>
      <c r="Z63" s="323">
        <v>4.0</v>
      </c>
      <c r="AA63" s="324">
        <v>5.0</v>
      </c>
      <c r="AB63" s="325">
        <v>6.0</v>
      </c>
      <c r="AC63" s="326">
        <v>7.0</v>
      </c>
      <c r="AD63" s="327">
        <v>8.0</v>
      </c>
      <c r="AE63" s="328">
        <v>9.0</v>
      </c>
      <c r="AF63" s="329">
        <v>10.0</v>
      </c>
      <c r="AG63" s="293"/>
    </row>
    <row r="64" ht="33.75" customHeight="1">
      <c r="A64" s="264"/>
      <c r="B64" s="308"/>
      <c r="C64" s="330">
        <v>2.0</v>
      </c>
      <c r="D64" s="377" t="s">
        <v>183</v>
      </c>
      <c r="E64" s="423">
        <v>12.0</v>
      </c>
      <c r="F64" s="379">
        <v>15.0</v>
      </c>
      <c r="G64" s="380"/>
      <c r="H64" s="381">
        <v>17.0</v>
      </c>
      <c r="I64" s="379">
        <v>15.0</v>
      </c>
      <c r="J64" s="339"/>
      <c r="K64" s="332"/>
      <c r="L64" s="333"/>
      <c r="M64" s="336"/>
      <c r="N64" s="337"/>
      <c r="O64" s="338"/>
      <c r="P64" s="339"/>
      <c r="Q64" s="336"/>
      <c r="R64" s="338"/>
      <c r="S64" s="336"/>
      <c r="T64" s="319">
        <f t="shared" si="4"/>
        <v>435</v>
      </c>
      <c r="U64" s="422"/>
      <c r="V64" s="265"/>
      <c r="W64" s="340" t="s">
        <v>227</v>
      </c>
      <c r="X64" s="268"/>
      <c r="Y64" s="268"/>
      <c r="Z64" s="268"/>
      <c r="AA64" s="268"/>
      <c r="AB64" s="57"/>
      <c r="AC64" s="300">
        <v>7.0</v>
      </c>
      <c r="AD64" s="273"/>
      <c r="AE64" s="273"/>
      <c r="AF64" s="270"/>
      <c r="AG64" s="293"/>
    </row>
    <row r="65" ht="33.75" customHeight="1">
      <c r="A65" s="264"/>
      <c r="B65" s="308"/>
      <c r="C65" s="309">
        <v>3.0</v>
      </c>
      <c r="D65" s="382" t="s">
        <v>131</v>
      </c>
      <c r="E65" s="259">
        <v>12.0</v>
      </c>
      <c r="F65" s="383">
        <v>50.0</v>
      </c>
      <c r="G65" s="384"/>
      <c r="H65" s="385">
        <v>17.0</v>
      </c>
      <c r="I65" s="383">
        <v>50.0</v>
      </c>
      <c r="J65" s="344"/>
      <c r="K65" s="311"/>
      <c r="L65" s="342"/>
      <c r="M65" s="318"/>
      <c r="N65" s="345"/>
      <c r="O65" s="346"/>
      <c r="P65" s="344"/>
      <c r="Q65" s="318"/>
      <c r="R65" s="346"/>
      <c r="S65" s="318"/>
      <c r="T65" s="319">
        <f t="shared" si="4"/>
        <v>1450</v>
      </c>
      <c r="U65" s="422"/>
      <c r="V65" s="265"/>
      <c r="W65" s="64"/>
      <c r="AB65" s="63"/>
      <c r="AF65" s="25"/>
      <c r="AG65" s="293"/>
    </row>
    <row r="66" ht="33.75" customHeight="1">
      <c r="A66" s="264"/>
      <c r="B66" s="308"/>
      <c r="C66" s="330">
        <v>4.0</v>
      </c>
      <c r="D66" s="377" t="s">
        <v>106</v>
      </c>
      <c r="E66" s="423">
        <v>10.0</v>
      </c>
      <c r="F66" s="379">
        <v>40.0</v>
      </c>
      <c r="G66" s="380"/>
      <c r="H66" s="381">
        <v>8.0</v>
      </c>
      <c r="I66" s="379">
        <v>40.0</v>
      </c>
      <c r="J66" s="339"/>
      <c r="K66" s="332"/>
      <c r="L66" s="333"/>
      <c r="M66" s="336"/>
      <c r="N66" s="337"/>
      <c r="O66" s="338"/>
      <c r="P66" s="339"/>
      <c r="Q66" s="336"/>
      <c r="R66" s="338"/>
      <c r="S66" s="336"/>
      <c r="T66" s="319">
        <f t="shared" si="4"/>
        <v>720</v>
      </c>
      <c r="U66" s="422"/>
      <c r="V66" s="265"/>
      <c r="W66" s="275"/>
      <c r="X66" s="276"/>
      <c r="Y66" s="276"/>
      <c r="Z66" s="276"/>
      <c r="AA66" s="276"/>
      <c r="AB66" s="291"/>
      <c r="AC66" s="22"/>
      <c r="AD66" s="22"/>
      <c r="AE66" s="22"/>
      <c r="AF66" s="28"/>
      <c r="AG66" s="293"/>
    </row>
    <row r="67" ht="33.75" customHeight="1">
      <c r="A67" s="264"/>
      <c r="B67" s="308"/>
      <c r="C67" s="309">
        <v>5.0</v>
      </c>
      <c r="D67" s="382" t="s">
        <v>185</v>
      </c>
      <c r="E67" s="244">
        <v>12.0</v>
      </c>
      <c r="F67" s="383">
        <v>35.0</v>
      </c>
      <c r="G67" s="384"/>
      <c r="H67" s="385">
        <v>12.0</v>
      </c>
      <c r="I67" s="383">
        <v>35.0</v>
      </c>
      <c r="J67" s="344"/>
      <c r="K67" s="311"/>
      <c r="L67" s="342"/>
      <c r="M67" s="318"/>
      <c r="N67" s="345"/>
      <c r="O67" s="346"/>
      <c r="P67" s="344"/>
      <c r="Q67" s="318"/>
      <c r="R67" s="346"/>
      <c r="S67" s="318"/>
      <c r="T67" s="319">
        <f t="shared" si="4"/>
        <v>840</v>
      </c>
      <c r="U67" s="422"/>
      <c r="V67" s="265"/>
      <c r="W67" s="347">
        <v>1.0</v>
      </c>
      <c r="X67" s="348">
        <v>2.0</v>
      </c>
      <c r="Y67" s="349">
        <v>3.0</v>
      </c>
      <c r="Z67" s="350">
        <v>4.0</v>
      </c>
      <c r="AA67" s="351">
        <v>5.0</v>
      </c>
      <c r="AB67" s="352">
        <v>6.0</v>
      </c>
      <c r="AC67" s="353">
        <v>7.0</v>
      </c>
      <c r="AD67" s="354">
        <v>8.0</v>
      </c>
      <c r="AE67" s="355">
        <v>9.0</v>
      </c>
      <c r="AF67" s="356">
        <v>10.0</v>
      </c>
      <c r="AG67" s="293"/>
    </row>
    <row r="68" ht="33.75" customHeight="1">
      <c r="A68" s="264"/>
      <c r="B68" s="308"/>
      <c r="C68" s="330">
        <v>6.0</v>
      </c>
      <c r="D68" s="331" t="s">
        <v>186</v>
      </c>
      <c r="E68" s="424">
        <v>46001.0</v>
      </c>
      <c r="F68" s="379">
        <v>30.0</v>
      </c>
      <c r="G68" s="380"/>
      <c r="H68" s="381">
        <v>12.0</v>
      </c>
      <c r="I68" s="379"/>
      <c r="J68" s="335"/>
      <c r="K68" s="332"/>
      <c r="L68" s="333"/>
      <c r="M68" s="336"/>
      <c r="N68" s="337"/>
      <c r="O68" s="338"/>
      <c r="P68" s="339"/>
      <c r="Q68" s="336"/>
      <c r="R68" s="338"/>
      <c r="S68" s="336"/>
      <c r="T68" s="425">
        <f t="shared" si="4"/>
        <v>1380030</v>
      </c>
      <c r="U68" s="422"/>
      <c r="V68" s="265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  <c r="AG68" s="293"/>
    </row>
    <row r="69" ht="33.75" customHeight="1">
      <c r="A69" s="264"/>
      <c r="B69" s="308"/>
      <c r="C69" s="309">
        <v>7.0</v>
      </c>
      <c r="D69" s="382" t="s">
        <v>187</v>
      </c>
      <c r="E69" s="236">
        <v>45999.0</v>
      </c>
      <c r="F69" s="342">
        <v>15.0</v>
      </c>
      <c r="G69" s="318"/>
      <c r="H69" s="343">
        <v>10.0</v>
      </c>
      <c r="I69" s="342"/>
      <c r="J69" s="344"/>
      <c r="K69" s="311"/>
      <c r="L69" s="342"/>
      <c r="M69" s="318"/>
      <c r="N69" s="345"/>
      <c r="O69" s="346"/>
      <c r="P69" s="344"/>
      <c r="Q69" s="318"/>
      <c r="R69" s="346"/>
      <c r="S69" s="318"/>
      <c r="T69" s="425">
        <f t="shared" si="4"/>
        <v>689985</v>
      </c>
      <c r="U69" s="422"/>
      <c r="V69" s="265"/>
      <c r="W69" s="357" t="s">
        <v>231</v>
      </c>
      <c r="X69" s="268"/>
      <c r="Y69" s="268"/>
      <c r="Z69" s="268"/>
      <c r="AA69" s="268"/>
      <c r="AB69" s="268"/>
      <c r="AC69" s="268"/>
      <c r="AD69" s="268"/>
      <c r="AE69" s="268"/>
      <c r="AF69" s="57"/>
      <c r="AG69" s="293"/>
    </row>
    <row r="70" ht="33.75" customHeight="1">
      <c r="A70" s="264"/>
      <c r="B70" s="308"/>
      <c r="C70" s="330">
        <v>8.0</v>
      </c>
      <c r="D70" s="358"/>
      <c r="E70" s="336"/>
      <c r="F70" s="338"/>
      <c r="G70" s="336"/>
      <c r="H70" s="337"/>
      <c r="I70" s="338"/>
      <c r="J70" s="339"/>
      <c r="K70" s="336"/>
      <c r="L70" s="338"/>
      <c r="M70" s="336"/>
      <c r="N70" s="337"/>
      <c r="O70" s="338"/>
      <c r="P70" s="339"/>
      <c r="Q70" s="336"/>
      <c r="R70" s="338"/>
      <c r="S70" s="336"/>
      <c r="T70" s="319">
        <f t="shared" si="4"/>
        <v>0</v>
      </c>
      <c r="U70" s="422"/>
      <c r="V70" s="265"/>
      <c r="W70" s="359" t="s">
        <v>246</v>
      </c>
      <c r="X70" s="273"/>
      <c r="Y70" s="273"/>
      <c r="Z70" s="273"/>
      <c r="AA70" s="273"/>
      <c r="AB70" s="273"/>
      <c r="AC70" s="273"/>
      <c r="AD70" s="273"/>
      <c r="AE70" s="273"/>
      <c r="AF70" s="270"/>
      <c r="AG70" s="293"/>
    </row>
    <row r="71" ht="33.75" customHeight="1">
      <c r="A71" s="264"/>
      <c r="B71" s="308"/>
      <c r="C71" s="309">
        <v>9.0</v>
      </c>
      <c r="D71" s="360"/>
      <c r="E71" s="318"/>
      <c r="F71" s="346"/>
      <c r="G71" s="318"/>
      <c r="H71" s="345"/>
      <c r="I71" s="346"/>
      <c r="J71" s="344"/>
      <c r="K71" s="318"/>
      <c r="L71" s="346"/>
      <c r="M71" s="318"/>
      <c r="N71" s="345"/>
      <c r="O71" s="346"/>
      <c r="P71" s="344"/>
      <c r="Q71" s="318"/>
      <c r="R71" s="346"/>
      <c r="S71" s="318"/>
      <c r="T71" s="319">
        <f t="shared" si="4"/>
        <v>0</v>
      </c>
      <c r="U71" s="422"/>
      <c r="V71" s="265"/>
      <c r="W71" s="90"/>
      <c r="AF71" s="25"/>
      <c r="AG71" s="293"/>
    </row>
    <row r="72" ht="33.75" customHeight="1">
      <c r="A72" s="264"/>
      <c r="B72" s="308"/>
      <c r="C72" s="330">
        <v>10.0</v>
      </c>
      <c r="D72" s="358"/>
      <c r="E72" s="336"/>
      <c r="F72" s="338"/>
      <c r="G72" s="336"/>
      <c r="H72" s="337"/>
      <c r="I72" s="338"/>
      <c r="J72" s="339"/>
      <c r="K72" s="336"/>
      <c r="L72" s="338"/>
      <c r="M72" s="336"/>
      <c r="N72" s="337"/>
      <c r="O72" s="338"/>
      <c r="P72" s="339"/>
      <c r="Q72" s="336"/>
      <c r="R72" s="338"/>
      <c r="S72" s="336"/>
      <c r="T72" s="319">
        <f t="shared" si="4"/>
        <v>0</v>
      </c>
      <c r="U72" s="422"/>
      <c r="V72" s="265"/>
      <c r="W72" s="90"/>
      <c r="AF72" s="25"/>
      <c r="AG72" s="293"/>
    </row>
    <row r="73" ht="33.75" customHeight="1">
      <c r="A73" s="264"/>
      <c r="B73" s="361"/>
      <c r="C73" s="362">
        <v>11.0</v>
      </c>
      <c r="D73" s="363"/>
      <c r="E73" s="364"/>
      <c r="F73" s="365"/>
      <c r="G73" s="364"/>
      <c r="H73" s="366"/>
      <c r="I73" s="365"/>
      <c r="J73" s="367"/>
      <c r="K73" s="364"/>
      <c r="L73" s="365"/>
      <c r="M73" s="364"/>
      <c r="N73" s="366"/>
      <c r="O73" s="365"/>
      <c r="P73" s="367"/>
      <c r="Q73" s="364"/>
      <c r="R73" s="365"/>
      <c r="S73" s="364"/>
      <c r="T73" s="319">
        <f t="shared" si="4"/>
        <v>0</v>
      </c>
      <c r="U73" s="422"/>
      <c r="V73" s="265"/>
      <c r="W73" s="27"/>
      <c r="X73" s="22"/>
      <c r="Y73" s="22"/>
      <c r="Z73" s="22"/>
      <c r="AA73" s="22"/>
      <c r="AB73" s="22"/>
      <c r="AC73" s="22"/>
      <c r="AD73" s="22"/>
      <c r="AE73" s="22"/>
      <c r="AF73" s="28"/>
      <c r="AG73" s="293"/>
    </row>
    <row r="74">
      <c r="A74" s="264"/>
      <c r="B74" s="368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92"/>
      <c r="R74" s="265"/>
      <c r="S74" s="265"/>
      <c r="T74" s="265"/>
      <c r="U74" s="265"/>
      <c r="V74" s="265"/>
      <c r="W74" s="293"/>
      <c r="X74" s="293"/>
      <c r="Y74" s="293"/>
      <c r="Z74" s="293"/>
      <c r="AA74" s="293"/>
      <c r="AB74" s="371"/>
      <c r="AC74" s="293"/>
      <c r="AD74" s="293"/>
      <c r="AE74" s="293"/>
      <c r="AF74" s="293"/>
      <c r="AG74" s="293"/>
    </row>
    <row r="75">
      <c r="A75" s="264"/>
      <c r="B75" s="265"/>
      <c r="C75" s="294" t="s">
        <v>209</v>
      </c>
      <c r="D75" s="295"/>
      <c r="E75" s="296" t="s">
        <v>233</v>
      </c>
      <c r="F75" s="297"/>
      <c r="G75" s="297"/>
      <c r="H75" s="297"/>
      <c r="I75" s="297"/>
      <c r="J75" s="297"/>
      <c r="K75" s="297"/>
      <c r="L75" s="297"/>
      <c r="M75" s="282"/>
      <c r="N75" s="298" t="s">
        <v>211</v>
      </c>
      <c r="O75" s="268"/>
      <c r="P75" s="57"/>
      <c r="Q75" s="286"/>
      <c r="R75" s="268"/>
      <c r="S75" s="57"/>
      <c r="T75" s="292"/>
      <c r="U75" s="265"/>
      <c r="V75" s="265"/>
      <c r="W75" s="299" t="s">
        <v>213</v>
      </c>
      <c r="X75" s="268"/>
      <c r="Y75" s="268"/>
      <c r="Z75" s="268"/>
      <c r="AA75" s="268"/>
      <c r="AB75" s="57"/>
      <c r="AC75" s="300">
        <v>7.0</v>
      </c>
      <c r="AD75" s="273"/>
      <c r="AE75" s="273"/>
      <c r="AF75" s="270"/>
      <c r="AG75" s="293"/>
    </row>
    <row r="76">
      <c r="A76" s="264"/>
      <c r="B76" s="265"/>
      <c r="C76" s="301" t="s">
        <v>214</v>
      </c>
      <c r="D76" s="372">
        <v>45880.0</v>
      </c>
      <c r="E76" s="303" t="s">
        <v>215</v>
      </c>
      <c r="F76" s="22"/>
      <c r="G76" s="28"/>
      <c r="H76" s="304" t="s">
        <v>216</v>
      </c>
      <c r="I76" s="297"/>
      <c r="J76" s="282"/>
      <c r="K76" s="304" t="s">
        <v>217</v>
      </c>
      <c r="L76" s="297"/>
      <c r="M76" s="282"/>
      <c r="N76" s="304" t="s">
        <v>218</v>
      </c>
      <c r="O76" s="297"/>
      <c r="P76" s="282"/>
      <c r="Q76" s="304" t="s">
        <v>219</v>
      </c>
      <c r="R76" s="297"/>
      <c r="S76" s="282"/>
      <c r="T76" s="265"/>
      <c r="U76" s="265"/>
      <c r="V76" s="265"/>
      <c r="W76" s="64"/>
      <c r="AB76" s="63"/>
      <c r="AF76" s="25"/>
      <c r="AG76" s="293"/>
    </row>
    <row r="77">
      <c r="A77" s="264"/>
      <c r="B77" s="305" t="s">
        <v>247</v>
      </c>
      <c r="C77" s="306" t="s">
        <v>221</v>
      </c>
      <c r="D77" s="306" t="s">
        <v>222</v>
      </c>
      <c r="E77" s="301" t="s">
        <v>223</v>
      </c>
      <c r="F77" s="301" t="s">
        <v>224</v>
      </c>
      <c r="G77" s="301" t="s">
        <v>66</v>
      </c>
      <c r="H77" s="301" t="s">
        <v>223</v>
      </c>
      <c r="I77" s="301" t="s">
        <v>224</v>
      </c>
      <c r="J77" s="301" t="s">
        <v>66</v>
      </c>
      <c r="K77" s="301" t="s">
        <v>223</v>
      </c>
      <c r="L77" s="301" t="s">
        <v>224</v>
      </c>
      <c r="M77" s="301" t="s">
        <v>66</v>
      </c>
      <c r="N77" s="301" t="s">
        <v>223</v>
      </c>
      <c r="O77" s="301" t="s">
        <v>224</v>
      </c>
      <c r="P77" s="301" t="s">
        <v>66</v>
      </c>
      <c r="Q77" s="301" t="s">
        <v>223</v>
      </c>
      <c r="R77" s="301" t="s">
        <v>224</v>
      </c>
      <c r="S77" s="301" t="s">
        <v>66</v>
      </c>
      <c r="T77" s="307" t="s">
        <v>225</v>
      </c>
      <c r="U77" s="421" t="s">
        <v>263</v>
      </c>
      <c r="V77" s="265"/>
      <c r="W77" s="275"/>
      <c r="X77" s="276"/>
      <c r="Y77" s="276"/>
      <c r="Z77" s="276"/>
      <c r="AA77" s="276"/>
      <c r="AB77" s="291"/>
      <c r="AC77" s="22"/>
      <c r="AD77" s="22"/>
      <c r="AE77" s="22"/>
      <c r="AF77" s="28"/>
      <c r="AG77" s="293"/>
    </row>
    <row r="78" ht="33.75" customHeight="1">
      <c r="A78" s="264"/>
      <c r="B78" s="308"/>
      <c r="C78" s="309">
        <v>1.0</v>
      </c>
      <c r="D78" s="407" t="s">
        <v>104</v>
      </c>
      <c r="E78" s="311">
        <v>12.0</v>
      </c>
      <c r="F78" s="312">
        <v>10.0</v>
      </c>
      <c r="G78" s="311"/>
      <c r="H78" s="313">
        <v>11.0</v>
      </c>
      <c r="I78" s="312">
        <v>10.0</v>
      </c>
      <c r="J78" s="317"/>
      <c r="K78" s="311"/>
      <c r="L78" s="312"/>
      <c r="M78" s="318"/>
      <c r="N78" s="315"/>
      <c r="O78" s="316"/>
      <c r="P78" s="317"/>
      <c r="Q78" s="318"/>
      <c r="R78" s="316"/>
      <c r="S78" s="318"/>
      <c r="T78" s="319">
        <f t="shared" ref="T78:T88" si="5">(E78*F78)+(H78*I78)+(K78*L78)+(N78*O78)+(Q78*R78)</f>
        <v>230</v>
      </c>
      <c r="U78" s="422"/>
      <c r="V78" s="265"/>
      <c r="W78" s="320">
        <v>1.0</v>
      </c>
      <c r="X78" s="321">
        <v>2.0</v>
      </c>
      <c r="Y78" s="322">
        <v>3.0</v>
      </c>
      <c r="Z78" s="323">
        <v>4.0</v>
      </c>
      <c r="AA78" s="324">
        <v>5.0</v>
      </c>
      <c r="AB78" s="325">
        <v>6.0</v>
      </c>
      <c r="AC78" s="326">
        <v>7.0</v>
      </c>
      <c r="AD78" s="327">
        <v>8.0</v>
      </c>
      <c r="AE78" s="328">
        <v>9.0</v>
      </c>
      <c r="AF78" s="329">
        <v>10.0</v>
      </c>
      <c r="AG78" s="293"/>
    </row>
    <row r="79" ht="33.75" customHeight="1">
      <c r="A79" s="264"/>
      <c r="B79" s="308"/>
      <c r="C79" s="330">
        <v>2.0</v>
      </c>
      <c r="D79" s="408" t="s">
        <v>145</v>
      </c>
      <c r="E79" s="332">
        <v>10.0</v>
      </c>
      <c r="F79" s="333">
        <v>40.0</v>
      </c>
      <c r="G79" s="332"/>
      <c r="H79" s="334">
        <v>10.0</v>
      </c>
      <c r="I79" s="333">
        <v>40.0</v>
      </c>
      <c r="J79" s="339"/>
      <c r="K79" s="332"/>
      <c r="L79" s="333"/>
      <c r="M79" s="336"/>
      <c r="N79" s="337"/>
      <c r="O79" s="338"/>
      <c r="P79" s="339"/>
      <c r="Q79" s="336"/>
      <c r="R79" s="338"/>
      <c r="S79" s="336"/>
      <c r="T79" s="319">
        <f t="shared" si="5"/>
        <v>800</v>
      </c>
      <c r="U79" s="422"/>
      <c r="V79" s="265"/>
      <c r="W79" s="340" t="s">
        <v>227</v>
      </c>
      <c r="X79" s="268"/>
      <c r="Y79" s="268"/>
      <c r="Z79" s="268"/>
      <c r="AA79" s="268"/>
      <c r="AB79" s="57"/>
      <c r="AC79" s="300">
        <v>8.0</v>
      </c>
      <c r="AD79" s="273"/>
      <c r="AE79" s="273"/>
      <c r="AF79" s="270"/>
      <c r="AG79" s="293"/>
    </row>
    <row r="80" ht="33.75" customHeight="1">
      <c r="A80" s="264"/>
      <c r="B80" s="308"/>
      <c r="C80" s="309">
        <v>3.0</v>
      </c>
      <c r="D80" s="409" t="s">
        <v>146</v>
      </c>
      <c r="E80" s="311">
        <v>7.0</v>
      </c>
      <c r="F80" s="342">
        <v>30.0</v>
      </c>
      <c r="G80" s="311"/>
      <c r="H80" s="343">
        <v>6.0</v>
      </c>
      <c r="I80" s="342">
        <v>30.0</v>
      </c>
      <c r="J80" s="344"/>
      <c r="K80" s="311"/>
      <c r="L80" s="342"/>
      <c r="M80" s="318"/>
      <c r="N80" s="345"/>
      <c r="O80" s="346"/>
      <c r="P80" s="344"/>
      <c r="Q80" s="318"/>
      <c r="R80" s="346"/>
      <c r="S80" s="318"/>
      <c r="T80" s="319">
        <f t="shared" si="5"/>
        <v>390</v>
      </c>
      <c r="U80" s="422"/>
      <c r="V80" s="265"/>
      <c r="W80" s="64"/>
      <c r="AB80" s="63"/>
      <c r="AF80" s="25"/>
      <c r="AG80" s="293"/>
    </row>
    <row r="81" ht="33.75" customHeight="1">
      <c r="A81" s="264"/>
      <c r="B81" s="308"/>
      <c r="C81" s="330">
        <v>4.0</v>
      </c>
      <c r="D81" s="408" t="s">
        <v>76</v>
      </c>
      <c r="E81" s="332">
        <v>11.0</v>
      </c>
      <c r="F81" s="333">
        <v>10.0</v>
      </c>
      <c r="G81" s="332"/>
      <c r="H81" s="334">
        <v>10.0</v>
      </c>
      <c r="I81" s="333">
        <v>10.0</v>
      </c>
      <c r="J81" s="339"/>
      <c r="K81" s="332"/>
      <c r="L81" s="333"/>
      <c r="M81" s="336"/>
      <c r="N81" s="337"/>
      <c r="O81" s="338"/>
      <c r="P81" s="339"/>
      <c r="Q81" s="336"/>
      <c r="R81" s="338"/>
      <c r="S81" s="336"/>
      <c r="T81" s="319">
        <f t="shared" si="5"/>
        <v>210</v>
      </c>
      <c r="U81" s="422"/>
      <c r="V81" s="265"/>
      <c r="W81" s="275"/>
      <c r="X81" s="276"/>
      <c r="Y81" s="276"/>
      <c r="Z81" s="276"/>
      <c r="AA81" s="276"/>
      <c r="AB81" s="291"/>
      <c r="AC81" s="22"/>
      <c r="AD81" s="22"/>
      <c r="AE81" s="22"/>
      <c r="AF81" s="28"/>
      <c r="AG81" s="293"/>
    </row>
    <row r="82" ht="33.75" customHeight="1">
      <c r="A82" s="264"/>
      <c r="B82" s="308"/>
      <c r="C82" s="309">
        <v>5.0</v>
      </c>
      <c r="D82" s="409" t="s">
        <v>147</v>
      </c>
      <c r="E82" s="311">
        <v>16.0</v>
      </c>
      <c r="F82" s="342">
        <v>7.5</v>
      </c>
      <c r="G82" s="311"/>
      <c r="H82" s="343">
        <v>14.0</v>
      </c>
      <c r="I82" s="342">
        <v>7.5</v>
      </c>
      <c r="J82" s="344"/>
      <c r="K82" s="311"/>
      <c r="L82" s="342"/>
      <c r="M82" s="318"/>
      <c r="N82" s="345"/>
      <c r="O82" s="346"/>
      <c r="P82" s="344"/>
      <c r="Q82" s="318"/>
      <c r="R82" s="346"/>
      <c r="S82" s="318"/>
      <c r="T82" s="319">
        <f t="shared" si="5"/>
        <v>225</v>
      </c>
      <c r="U82" s="422"/>
      <c r="V82" s="265"/>
      <c r="W82" s="347">
        <v>1.0</v>
      </c>
      <c r="X82" s="348">
        <v>2.0</v>
      </c>
      <c r="Y82" s="349">
        <v>3.0</v>
      </c>
      <c r="Z82" s="350">
        <v>4.0</v>
      </c>
      <c r="AA82" s="351">
        <v>5.0</v>
      </c>
      <c r="AB82" s="352">
        <v>6.0</v>
      </c>
      <c r="AC82" s="353">
        <v>7.0</v>
      </c>
      <c r="AD82" s="354">
        <v>8.0</v>
      </c>
      <c r="AE82" s="355">
        <v>9.0</v>
      </c>
      <c r="AF82" s="356">
        <v>10.0</v>
      </c>
      <c r="AG82" s="293"/>
    </row>
    <row r="83" ht="33.75" customHeight="1">
      <c r="A83" s="264"/>
      <c r="B83" s="308"/>
      <c r="C83" s="330">
        <v>6.0</v>
      </c>
      <c r="D83" s="408" t="s">
        <v>149</v>
      </c>
      <c r="E83" s="332">
        <v>12.0</v>
      </c>
      <c r="F83" s="333">
        <v>20.0</v>
      </c>
      <c r="G83" s="336"/>
      <c r="H83" s="334">
        <v>12.0</v>
      </c>
      <c r="I83" s="333">
        <v>20.0</v>
      </c>
      <c r="J83" s="339"/>
      <c r="K83" s="332"/>
      <c r="L83" s="338"/>
      <c r="M83" s="336"/>
      <c r="N83" s="337"/>
      <c r="O83" s="338"/>
      <c r="P83" s="339"/>
      <c r="Q83" s="336"/>
      <c r="R83" s="338"/>
      <c r="S83" s="336"/>
      <c r="T83" s="319">
        <f t="shared" si="5"/>
        <v>480</v>
      </c>
      <c r="U83" s="422"/>
      <c r="V83" s="265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</row>
    <row r="84" ht="33.75" customHeight="1">
      <c r="A84" s="264"/>
      <c r="B84" s="308"/>
      <c r="C84" s="309">
        <v>7.0</v>
      </c>
      <c r="D84" s="382" t="s">
        <v>151</v>
      </c>
      <c r="E84" s="311">
        <v>12.0</v>
      </c>
      <c r="F84" s="342">
        <v>12.5</v>
      </c>
      <c r="G84" s="318"/>
      <c r="H84" s="343">
        <v>12.0</v>
      </c>
      <c r="I84" s="342">
        <v>12.5</v>
      </c>
      <c r="J84" s="344"/>
      <c r="K84" s="311"/>
      <c r="L84" s="342"/>
      <c r="M84" s="318"/>
      <c r="N84" s="345"/>
      <c r="O84" s="346"/>
      <c r="P84" s="344"/>
      <c r="Q84" s="318"/>
      <c r="R84" s="346"/>
      <c r="S84" s="318"/>
      <c r="T84" s="319">
        <f t="shared" si="5"/>
        <v>300</v>
      </c>
      <c r="U84" s="422"/>
      <c r="V84" s="265"/>
      <c r="W84" s="357" t="s">
        <v>231</v>
      </c>
      <c r="X84" s="268"/>
      <c r="Y84" s="268"/>
      <c r="Z84" s="268"/>
      <c r="AA84" s="268"/>
      <c r="AB84" s="268"/>
      <c r="AC84" s="268"/>
      <c r="AD84" s="268"/>
      <c r="AE84" s="268"/>
      <c r="AF84" s="57"/>
      <c r="AG84" s="293"/>
    </row>
    <row r="85" ht="33.75" customHeight="1">
      <c r="A85" s="264"/>
      <c r="B85" s="308"/>
      <c r="C85" s="330">
        <v>8.0</v>
      </c>
      <c r="D85" s="358"/>
      <c r="E85" s="336"/>
      <c r="F85" s="338"/>
      <c r="G85" s="336"/>
      <c r="H85" s="337"/>
      <c r="I85" s="338"/>
      <c r="J85" s="339"/>
      <c r="K85" s="336"/>
      <c r="L85" s="338"/>
      <c r="M85" s="336"/>
      <c r="N85" s="337"/>
      <c r="O85" s="338"/>
      <c r="P85" s="339"/>
      <c r="Q85" s="336"/>
      <c r="R85" s="338"/>
      <c r="S85" s="336"/>
      <c r="T85" s="319">
        <f t="shared" si="5"/>
        <v>0</v>
      </c>
      <c r="U85" s="422"/>
      <c r="V85" s="265"/>
      <c r="W85" s="370"/>
      <c r="X85" s="273"/>
      <c r="Y85" s="273"/>
      <c r="Z85" s="273"/>
      <c r="AA85" s="273"/>
      <c r="AB85" s="273"/>
      <c r="AC85" s="273"/>
      <c r="AD85" s="273"/>
      <c r="AE85" s="273"/>
      <c r="AF85" s="270"/>
      <c r="AG85" s="293"/>
    </row>
    <row r="86" ht="33.75" customHeight="1">
      <c r="A86" s="264"/>
      <c r="B86" s="308"/>
      <c r="C86" s="309">
        <v>9.0</v>
      </c>
      <c r="D86" s="360"/>
      <c r="E86" s="318"/>
      <c r="F86" s="346"/>
      <c r="G86" s="318"/>
      <c r="H86" s="345"/>
      <c r="I86" s="346"/>
      <c r="J86" s="344"/>
      <c r="K86" s="318"/>
      <c r="L86" s="346"/>
      <c r="M86" s="318"/>
      <c r="N86" s="345"/>
      <c r="O86" s="346"/>
      <c r="P86" s="344"/>
      <c r="Q86" s="318"/>
      <c r="R86" s="346"/>
      <c r="S86" s="318"/>
      <c r="T86" s="319">
        <f t="shared" si="5"/>
        <v>0</v>
      </c>
      <c r="U86" s="422"/>
      <c r="V86" s="265"/>
      <c r="W86" s="90"/>
      <c r="AF86" s="25"/>
      <c r="AG86" s="293"/>
    </row>
    <row r="87" ht="33.75" customHeight="1">
      <c r="A87" s="264"/>
      <c r="B87" s="308"/>
      <c r="C87" s="330">
        <v>10.0</v>
      </c>
      <c r="D87" s="358"/>
      <c r="E87" s="336"/>
      <c r="F87" s="338"/>
      <c r="G87" s="336"/>
      <c r="H87" s="337"/>
      <c r="I87" s="338"/>
      <c r="J87" s="339"/>
      <c r="K87" s="336"/>
      <c r="L87" s="338"/>
      <c r="M87" s="336"/>
      <c r="N87" s="337"/>
      <c r="O87" s="338"/>
      <c r="P87" s="339"/>
      <c r="Q87" s="336"/>
      <c r="R87" s="338"/>
      <c r="S87" s="336"/>
      <c r="T87" s="319">
        <f t="shared" si="5"/>
        <v>0</v>
      </c>
      <c r="U87" s="422"/>
      <c r="V87" s="265"/>
      <c r="W87" s="90"/>
      <c r="AF87" s="25"/>
      <c r="AG87" s="293"/>
    </row>
    <row r="88" ht="33.75" customHeight="1">
      <c r="A88" s="264"/>
      <c r="B88" s="361"/>
      <c r="C88" s="362">
        <v>11.0</v>
      </c>
      <c r="D88" s="363"/>
      <c r="E88" s="364"/>
      <c r="F88" s="365"/>
      <c r="G88" s="364"/>
      <c r="H88" s="366"/>
      <c r="I88" s="365"/>
      <c r="J88" s="367"/>
      <c r="K88" s="364"/>
      <c r="L88" s="365"/>
      <c r="M88" s="364"/>
      <c r="N88" s="366"/>
      <c r="O88" s="365"/>
      <c r="P88" s="367"/>
      <c r="Q88" s="364"/>
      <c r="R88" s="365"/>
      <c r="S88" s="364"/>
      <c r="T88" s="319">
        <f t="shared" si="5"/>
        <v>0</v>
      </c>
      <c r="U88" s="422"/>
      <c r="V88" s="265"/>
      <c r="W88" s="27"/>
      <c r="X88" s="22"/>
      <c r="Y88" s="22"/>
      <c r="Z88" s="22"/>
      <c r="AA88" s="22"/>
      <c r="AB88" s="22"/>
      <c r="AC88" s="22"/>
      <c r="AD88" s="22"/>
      <c r="AE88" s="22"/>
      <c r="AF88" s="28"/>
      <c r="AG88" s="293"/>
    </row>
    <row r="89">
      <c r="A89" s="264"/>
      <c r="B89" s="368"/>
      <c r="C89" s="265"/>
      <c r="D89" s="265"/>
      <c r="E89" s="265"/>
      <c r="F89" s="265"/>
      <c r="G89" s="265"/>
      <c r="H89" s="265"/>
      <c r="I89" s="265"/>
      <c r="J89" s="29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G89" s="293"/>
    </row>
    <row r="90">
      <c r="A90" s="264"/>
      <c r="B90" s="265"/>
      <c r="C90" s="294" t="s">
        <v>209</v>
      </c>
      <c r="D90" s="295"/>
      <c r="E90" s="296" t="s">
        <v>210</v>
      </c>
      <c r="F90" s="297"/>
      <c r="G90" s="297"/>
      <c r="H90" s="297"/>
      <c r="I90" s="297"/>
      <c r="J90" s="297"/>
      <c r="K90" s="297"/>
      <c r="L90" s="297"/>
      <c r="M90" s="282"/>
      <c r="N90" s="298" t="s">
        <v>211</v>
      </c>
      <c r="O90" s="268"/>
      <c r="P90" s="57"/>
      <c r="Q90" s="286"/>
      <c r="R90" s="268"/>
      <c r="S90" s="57"/>
      <c r="T90" s="292"/>
      <c r="U90" s="265"/>
      <c r="V90" s="265"/>
      <c r="W90" s="299" t="s">
        <v>213</v>
      </c>
      <c r="X90" s="268"/>
      <c r="Y90" s="268"/>
      <c r="Z90" s="268"/>
      <c r="AA90" s="268"/>
      <c r="AB90" s="57"/>
      <c r="AC90" s="300"/>
      <c r="AD90" s="273"/>
      <c r="AE90" s="273"/>
      <c r="AF90" s="270"/>
      <c r="AG90" s="293"/>
    </row>
    <row r="91">
      <c r="A91" s="264"/>
      <c r="B91" s="265"/>
      <c r="C91" s="301" t="s">
        <v>214</v>
      </c>
      <c r="D91" s="372">
        <v>45891.0</v>
      </c>
      <c r="E91" s="303" t="s">
        <v>215</v>
      </c>
      <c r="F91" s="22"/>
      <c r="G91" s="28"/>
      <c r="H91" s="304" t="s">
        <v>216</v>
      </c>
      <c r="I91" s="297"/>
      <c r="J91" s="282"/>
      <c r="K91" s="304" t="s">
        <v>217</v>
      </c>
      <c r="L91" s="297"/>
      <c r="M91" s="282"/>
      <c r="N91" s="304" t="s">
        <v>218</v>
      </c>
      <c r="O91" s="297"/>
      <c r="P91" s="282"/>
      <c r="Q91" s="304" t="s">
        <v>219</v>
      </c>
      <c r="R91" s="297"/>
      <c r="S91" s="282"/>
      <c r="T91" s="265"/>
      <c r="U91" s="265"/>
      <c r="V91" s="265"/>
      <c r="W91" s="64"/>
      <c r="AB91" s="63"/>
      <c r="AF91" s="25"/>
      <c r="AG91" s="293"/>
    </row>
    <row r="92">
      <c r="A92" s="264"/>
      <c r="B92" s="305" t="s">
        <v>249</v>
      </c>
      <c r="C92" s="306" t="s">
        <v>221</v>
      </c>
      <c r="D92" s="306" t="s">
        <v>222</v>
      </c>
      <c r="E92" s="301" t="s">
        <v>223</v>
      </c>
      <c r="F92" s="301" t="s">
        <v>224</v>
      </c>
      <c r="G92" s="301" t="s">
        <v>66</v>
      </c>
      <c r="H92" s="301" t="s">
        <v>223</v>
      </c>
      <c r="I92" s="301" t="s">
        <v>224</v>
      </c>
      <c r="J92" s="301" t="s">
        <v>66</v>
      </c>
      <c r="K92" s="301" t="s">
        <v>223</v>
      </c>
      <c r="L92" s="301" t="s">
        <v>224</v>
      </c>
      <c r="M92" s="301" t="s">
        <v>66</v>
      </c>
      <c r="N92" s="301" t="s">
        <v>223</v>
      </c>
      <c r="O92" s="301" t="s">
        <v>224</v>
      </c>
      <c r="P92" s="301" t="s">
        <v>66</v>
      </c>
      <c r="Q92" s="301" t="s">
        <v>223</v>
      </c>
      <c r="R92" s="301" t="s">
        <v>224</v>
      </c>
      <c r="S92" s="301" t="s">
        <v>66</v>
      </c>
      <c r="T92" s="307" t="s">
        <v>225</v>
      </c>
      <c r="U92" s="421" t="s">
        <v>263</v>
      </c>
      <c r="V92" s="265"/>
      <c r="W92" s="275"/>
      <c r="X92" s="276"/>
      <c r="Y92" s="276"/>
      <c r="Z92" s="276"/>
      <c r="AA92" s="276"/>
      <c r="AB92" s="291"/>
      <c r="AC92" s="22"/>
      <c r="AD92" s="22"/>
      <c r="AE92" s="22"/>
      <c r="AF92" s="28"/>
      <c r="AG92" s="293"/>
    </row>
    <row r="93" ht="33.75" customHeight="1">
      <c r="A93" s="264"/>
      <c r="B93" s="308"/>
      <c r="C93" s="309">
        <v>1.0</v>
      </c>
      <c r="D93" s="382" t="s">
        <v>167</v>
      </c>
      <c r="E93" s="259">
        <v>12.0</v>
      </c>
      <c r="F93" s="312">
        <v>55.0</v>
      </c>
      <c r="G93" s="375"/>
      <c r="H93" s="259">
        <v>12.0</v>
      </c>
      <c r="I93" s="375">
        <v>55.0</v>
      </c>
      <c r="J93" s="317"/>
      <c r="K93" s="311"/>
      <c r="L93" s="312"/>
      <c r="M93" s="318"/>
      <c r="N93" s="315"/>
      <c r="O93" s="316"/>
      <c r="P93" s="317"/>
      <c r="Q93" s="318"/>
      <c r="R93" s="316"/>
      <c r="S93" s="318"/>
      <c r="T93" s="319">
        <f t="shared" ref="T93:T103" si="6">(E93*F93)+(H93*I93)+(K93*L93)+(N93*O93)+(Q93*R93)</f>
        <v>1320</v>
      </c>
      <c r="U93" s="422"/>
      <c r="V93" s="265"/>
      <c r="W93" s="320">
        <v>1.0</v>
      </c>
      <c r="X93" s="321">
        <v>2.0</v>
      </c>
      <c r="Y93" s="322">
        <v>3.0</v>
      </c>
      <c r="Z93" s="323">
        <v>4.0</v>
      </c>
      <c r="AA93" s="324">
        <v>5.0</v>
      </c>
      <c r="AB93" s="325">
        <v>6.0</v>
      </c>
      <c r="AC93" s="326">
        <v>7.0</v>
      </c>
      <c r="AD93" s="327">
        <v>8.0</v>
      </c>
      <c r="AE93" s="328">
        <v>9.0</v>
      </c>
      <c r="AF93" s="329">
        <v>10.0</v>
      </c>
      <c r="AG93" s="293"/>
    </row>
    <row r="94" ht="33.75" customHeight="1">
      <c r="A94" s="264"/>
      <c r="B94" s="308"/>
      <c r="C94" s="330">
        <v>2.0</v>
      </c>
      <c r="D94" s="358" t="s">
        <v>169</v>
      </c>
      <c r="E94" s="423">
        <v>14.0</v>
      </c>
      <c r="F94" s="333">
        <v>15.0</v>
      </c>
      <c r="G94" s="379"/>
      <c r="H94" s="423">
        <v>16.0</v>
      </c>
      <c r="I94" s="379">
        <v>15.0</v>
      </c>
      <c r="J94" s="339"/>
      <c r="K94" s="332"/>
      <c r="L94" s="333"/>
      <c r="M94" s="336"/>
      <c r="N94" s="337"/>
      <c r="O94" s="338"/>
      <c r="P94" s="339"/>
      <c r="Q94" s="336"/>
      <c r="R94" s="338"/>
      <c r="S94" s="336"/>
      <c r="T94" s="319">
        <f t="shared" si="6"/>
        <v>450</v>
      </c>
      <c r="U94" s="422"/>
      <c r="V94" s="265"/>
      <c r="W94" s="340" t="s">
        <v>227</v>
      </c>
      <c r="X94" s="268"/>
      <c r="Y94" s="268"/>
      <c r="Z94" s="268"/>
      <c r="AA94" s="268"/>
      <c r="AB94" s="57"/>
      <c r="AC94" s="300"/>
      <c r="AD94" s="273"/>
      <c r="AE94" s="273"/>
      <c r="AF94" s="270"/>
      <c r="AG94" s="293"/>
    </row>
    <row r="95" ht="33.75" customHeight="1">
      <c r="A95" s="264"/>
      <c r="B95" s="308"/>
      <c r="C95" s="309">
        <v>3.0</v>
      </c>
      <c r="D95" s="360" t="s">
        <v>170</v>
      </c>
      <c r="E95" s="259">
        <v>8.0</v>
      </c>
      <c r="F95" s="342">
        <v>80.0</v>
      </c>
      <c r="G95" s="383"/>
      <c r="H95" s="259">
        <v>8.0</v>
      </c>
      <c r="I95" s="383">
        <v>80.0</v>
      </c>
      <c r="J95" s="344"/>
      <c r="K95" s="311"/>
      <c r="L95" s="342"/>
      <c r="M95" s="318"/>
      <c r="N95" s="345"/>
      <c r="O95" s="346"/>
      <c r="P95" s="344"/>
      <c r="Q95" s="318"/>
      <c r="R95" s="346"/>
      <c r="S95" s="318"/>
      <c r="T95" s="319">
        <f t="shared" si="6"/>
        <v>1280</v>
      </c>
      <c r="U95" s="422"/>
      <c r="V95" s="265"/>
      <c r="W95" s="64"/>
      <c r="AB95" s="63"/>
      <c r="AF95" s="25"/>
      <c r="AG95" s="293"/>
    </row>
    <row r="96" ht="33.75" customHeight="1">
      <c r="A96" s="264"/>
      <c r="B96" s="308"/>
      <c r="C96" s="330">
        <v>4.0</v>
      </c>
      <c r="D96" s="358" t="s">
        <v>171</v>
      </c>
      <c r="E96" s="423">
        <v>10.0</v>
      </c>
      <c r="F96" s="333">
        <v>130.0</v>
      </c>
      <c r="G96" s="379"/>
      <c r="H96" s="423">
        <v>10.0</v>
      </c>
      <c r="I96" s="379">
        <v>130.0</v>
      </c>
      <c r="J96" s="339"/>
      <c r="K96" s="332"/>
      <c r="L96" s="333"/>
      <c r="M96" s="336"/>
      <c r="N96" s="337"/>
      <c r="O96" s="338"/>
      <c r="P96" s="339"/>
      <c r="Q96" s="336"/>
      <c r="R96" s="338"/>
      <c r="S96" s="336"/>
      <c r="T96" s="319">
        <f t="shared" si="6"/>
        <v>2600</v>
      </c>
      <c r="U96" s="422"/>
      <c r="V96" s="265"/>
      <c r="W96" s="275"/>
      <c r="X96" s="276"/>
      <c r="Y96" s="276"/>
      <c r="Z96" s="276"/>
      <c r="AA96" s="276"/>
      <c r="AB96" s="291"/>
      <c r="AC96" s="22"/>
      <c r="AD96" s="22"/>
      <c r="AE96" s="22"/>
      <c r="AF96" s="28"/>
      <c r="AG96" s="293"/>
    </row>
    <row r="97" ht="33.75" customHeight="1">
      <c r="A97" s="264"/>
      <c r="B97" s="308"/>
      <c r="C97" s="309">
        <v>5.0</v>
      </c>
      <c r="D97" s="382" t="s">
        <v>172</v>
      </c>
      <c r="E97" s="239">
        <v>45636.0</v>
      </c>
      <c r="F97" s="342">
        <v>55.0</v>
      </c>
      <c r="G97" s="383"/>
      <c r="H97" s="239">
        <v>45636.0</v>
      </c>
      <c r="I97" s="383"/>
      <c r="J97" s="344"/>
      <c r="K97" s="311"/>
      <c r="L97" s="342"/>
      <c r="M97" s="318"/>
      <c r="N97" s="345"/>
      <c r="O97" s="342"/>
      <c r="P97" s="344"/>
      <c r="Q97" s="318"/>
      <c r="R97" s="346"/>
      <c r="S97" s="318"/>
      <c r="T97" s="319">
        <f t="shared" si="6"/>
        <v>2509980</v>
      </c>
      <c r="U97" s="422"/>
      <c r="V97" s="265"/>
      <c r="W97" s="347">
        <v>1.0</v>
      </c>
      <c r="X97" s="348">
        <v>2.0</v>
      </c>
      <c r="Y97" s="349">
        <v>3.0</v>
      </c>
      <c r="Z97" s="350">
        <v>4.0</v>
      </c>
      <c r="AA97" s="351">
        <v>5.0</v>
      </c>
      <c r="AB97" s="352">
        <v>6.0</v>
      </c>
      <c r="AC97" s="353">
        <v>7.0</v>
      </c>
      <c r="AD97" s="354">
        <v>8.0</v>
      </c>
      <c r="AE97" s="355">
        <v>9.0</v>
      </c>
      <c r="AF97" s="356">
        <v>10.0</v>
      </c>
      <c r="AG97" s="293"/>
    </row>
    <row r="98" ht="33.75" customHeight="1">
      <c r="A98" s="264"/>
      <c r="B98" s="308"/>
      <c r="C98" s="330">
        <v>6.0</v>
      </c>
      <c r="D98" s="358" t="s">
        <v>174</v>
      </c>
      <c r="E98" s="424">
        <v>45999.0</v>
      </c>
      <c r="F98" s="333">
        <v>20.0</v>
      </c>
      <c r="G98" s="379"/>
      <c r="H98" s="424">
        <v>45999.0</v>
      </c>
      <c r="I98" s="379"/>
      <c r="J98" s="339"/>
      <c r="K98" s="332"/>
      <c r="L98" s="338"/>
      <c r="M98" s="336"/>
      <c r="N98" s="337"/>
      <c r="O98" s="338"/>
      <c r="P98" s="339"/>
      <c r="Q98" s="336"/>
      <c r="R98" s="338"/>
      <c r="S98" s="336"/>
      <c r="T98" s="319">
        <f t="shared" si="6"/>
        <v>919980</v>
      </c>
      <c r="U98" s="422"/>
      <c r="V98" s="265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G98" s="293"/>
    </row>
    <row r="99" ht="33.75" customHeight="1">
      <c r="A99" s="264"/>
      <c r="B99" s="308"/>
      <c r="C99" s="309">
        <v>7.0</v>
      </c>
      <c r="D99" s="382"/>
      <c r="E99" s="244"/>
      <c r="F99" s="345"/>
      <c r="G99" s="345"/>
      <c r="H99" s="345"/>
      <c r="I99" s="346"/>
      <c r="J99" s="344"/>
      <c r="K99" s="311"/>
      <c r="L99" s="342"/>
      <c r="M99" s="318"/>
      <c r="N99" s="345"/>
      <c r="O99" s="346"/>
      <c r="P99" s="344"/>
      <c r="Q99" s="318"/>
      <c r="R99" s="346"/>
      <c r="S99" s="318"/>
      <c r="T99" s="319">
        <f t="shared" si="6"/>
        <v>0</v>
      </c>
      <c r="U99" s="422"/>
      <c r="V99" s="265"/>
      <c r="W99" s="357" t="s">
        <v>231</v>
      </c>
      <c r="X99" s="268"/>
      <c r="Y99" s="268"/>
      <c r="Z99" s="268"/>
      <c r="AA99" s="268"/>
      <c r="AB99" s="268"/>
      <c r="AC99" s="268"/>
      <c r="AD99" s="268"/>
      <c r="AE99" s="268"/>
      <c r="AF99" s="57"/>
      <c r="AG99" s="293"/>
    </row>
    <row r="100" ht="33.75" customHeight="1">
      <c r="A100" s="264"/>
      <c r="B100" s="308"/>
      <c r="C100" s="330">
        <v>8.0</v>
      </c>
      <c r="D100" s="358"/>
      <c r="E100" s="336"/>
      <c r="F100" s="338"/>
      <c r="G100" s="336"/>
      <c r="H100" s="337"/>
      <c r="I100" s="338"/>
      <c r="J100" s="339"/>
      <c r="K100" s="336"/>
      <c r="L100" s="338"/>
      <c r="M100" s="336"/>
      <c r="N100" s="337"/>
      <c r="O100" s="338"/>
      <c r="P100" s="339"/>
      <c r="Q100" s="336"/>
      <c r="R100" s="338"/>
      <c r="S100" s="336"/>
      <c r="T100" s="319">
        <f t="shared" si="6"/>
        <v>0</v>
      </c>
      <c r="U100" s="422"/>
      <c r="V100" s="265"/>
      <c r="W100" s="370"/>
      <c r="X100" s="273"/>
      <c r="Y100" s="273"/>
      <c r="Z100" s="273"/>
      <c r="AA100" s="273"/>
      <c r="AB100" s="273"/>
      <c r="AC100" s="273"/>
      <c r="AD100" s="273"/>
      <c r="AE100" s="273"/>
      <c r="AF100" s="270"/>
      <c r="AG100" s="293"/>
    </row>
    <row r="101" ht="33.75" customHeight="1">
      <c r="A101" s="264"/>
      <c r="B101" s="308"/>
      <c r="C101" s="309">
        <v>9.0</v>
      </c>
      <c r="D101" s="360"/>
      <c r="E101" s="318"/>
      <c r="F101" s="346"/>
      <c r="G101" s="318"/>
      <c r="H101" s="345"/>
      <c r="I101" s="346"/>
      <c r="J101" s="344"/>
      <c r="K101" s="318"/>
      <c r="L101" s="346"/>
      <c r="M101" s="318"/>
      <c r="N101" s="345"/>
      <c r="O101" s="346"/>
      <c r="P101" s="344"/>
      <c r="Q101" s="318"/>
      <c r="R101" s="346"/>
      <c r="S101" s="318"/>
      <c r="T101" s="319">
        <f t="shared" si="6"/>
        <v>0</v>
      </c>
      <c r="U101" s="422"/>
      <c r="V101" s="265"/>
      <c r="W101" s="90"/>
      <c r="AF101" s="25"/>
      <c r="AG101" s="293"/>
    </row>
    <row r="102" ht="33.75" customHeight="1">
      <c r="A102" s="264"/>
      <c r="B102" s="308"/>
      <c r="C102" s="330">
        <v>10.0</v>
      </c>
      <c r="D102" s="358"/>
      <c r="E102" s="336"/>
      <c r="F102" s="338"/>
      <c r="G102" s="336"/>
      <c r="H102" s="337"/>
      <c r="I102" s="338"/>
      <c r="J102" s="339"/>
      <c r="K102" s="336"/>
      <c r="L102" s="338"/>
      <c r="M102" s="336"/>
      <c r="N102" s="337"/>
      <c r="O102" s="338"/>
      <c r="P102" s="339"/>
      <c r="Q102" s="336"/>
      <c r="R102" s="338"/>
      <c r="S102" s="336"/>
      <c r="T102" s="319">
        <f t="shared" si="6"/>
        <v>0</v>
      </c>
      <c r="U102" s="422"/>
      <c r="V102" s="265"/>
      <c r="W102" s="90"/>
      <c r="AF102" s="25"/>
      <c r="AG102" s="293"/>
    </row>
    <row r="103" ht="33.75" customHeight="1">
      <c r="A103" s="264"/>
      <c r="B103" s="361"/>
      <c r="C103" s="362">
        <v>11.0</v>
      </c>
      <c r="D103" s="363"/>
      <c r="E103" s="364"/>
      <c r="F103" s="365"/>
      <c r="G103" s="364"/>
      <c r="H103" s="366"/>
      <c r="I103" s="365"/>
      <c r="J103" s="367"/>
      <c r="K103" s="364"/>
      <c r="L103" s="365"/>
      <c r="M103" s="364"/>
      <c r="N103" s="366"/>
      <c r="O103" s="365"/>
      <c r="P103" s="367"/>
      <c r="Q103" s="364"/>
      <c r="R103" s="365"/>
      <c r="S103" s="364"/>
      <c r="T103" s="319">
        <f t="shared" si="6"/>
        <v>0</v>
      </c>
      <c r="U103" s="422"/>
      <c r="V103" s="265"/>
      <c r="W103" s="27"/>
      <c r="X103" s="22"/>
      <c r="Y103" s="22"/>
      <c r="Z103" s="22"/>
      <c r="AA103" s="22"/>
      <c r="AB103" s="22"/>
      <c r="AC103" s="22"/>
      <c r="AD103" s="22"/>
      <c r="AE103" s="22"/>
      <c r="AF103" s="28"/>
      <c r="AG103" s="265"/>
    </row>
    <row r="104">
      <c r="A104" s="265"/>
      <c r="B104" s="265"/>
      <c r="C104" s="265"/>
      <c r="D104" s="265"/>
      <c r="E104" s="265"/>
      <c r="F104" s="265"/>
      <c r="G104" s="265"/>
      <c r="H104" s="265"/>
      <c r="I104" s="265"/>
      <c r="J104" s="292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  <c r="AA104" s="265"/>
      <c r="AB104" s="265"/>
      <c r="AC104" s="265"/>
      <c r="AD104" s="265"/>
      <c r="AE104" s="265"/>
      <c r="AF104" s="265"/>
      <c r="AG104" s="265"/>
    </row>
    <row r="105">
      <c r="A105" s="265"/>
      <c r="B105" s="265"/>
      <c r="C105" s="294" t="s">
        <v>209</v>
      </c>
      <c r="D105" s="295"/>
      <c r="E105" s="296" t="s">
        <v>241</v>
      </c>
      <c r="F105" s="297"/>
      <c r="G105" s="297"/>
      <c r="H105" s="297"/>
      <c r="I105" s="297"/>
      <c r="J105" s="297"/>
      <c r="K105" s="297"/>
      <c r="L105" s="297"/>
      <c r="M105" s="282"/>
      <c r="N105" s="298" t="s">
        <v>211</v>
      </c>
      <c r="O105" s="268"/>
      <c r="P105" s="57"/>
      <c r="Q105" s="286"/>
      <c r="R105" s="268"/>
      <c r="S105" s="57"/>
      <c r="T105" s="292"/>
      <c r="U105" s="265"/>
      <c r="V105" s="265"/>
      <c r="W105" s="299" t="s">
        <v>213</v>
      </c>
      <c r="X105" s="268"/>
      <c r="Y105" s="268"/>
      <c r="Z105" s="268"/>
      <c r="AA105" s="268"/>
      <c r="AB105" s="57"/>
      <c r="AC105" s="300"/>
      <c r="AD105" s="273"/>
      <c r="AE105" s="273"/>
      <c r="AF105" s="270"/>
      <c r="AG105" s="265"/>
    </row>
    <row r="106">
      <c r="A106" s="402"/>
      <c r="B106" s="265"/>
      <c r="C106" s="301" t="s">
        <v>214</v>
      </c>
      <c r="D106" s="405">
        <v>45894.0</v>
      </c>
      <c r="E106" s="303" t="s">
        <v>215</v>
      </c>
      <c r="F106" s="22"/>
      <c r="G106" s="28"/>
      <c r="H106" s="304" t="s">
        <v>216</v>
      </c>
      <c r="I106" s="297"/>
      <c r="J106" s="282"/>
      <c r="K106" s="304" t="s">
        <v>217</v>
      </c>
      <c r="L106" s="297"/>
      <c r="M106" s="282"/>
      <c r="N106" s="304" t="s">
        <v>218</v>
      </c>
      <c r="O106" s="297"/>
      <c r="P106" s="282"/>
      <c r="Q106" s="304" t="s">
        <v>219</v>
      </c>
      <c r="R106" s="297"/>
      <c r="S106" s="282"/>
      <c r="T106" s="265"/>
      <c r="U106" s="265"/>
      <c r="V106" s="265"/>
      <c r="W106" s="64"/>
      <c r="AB106" s="63"/>
      <c r="AF106" s="25"/>
      <c r="AG106" s="402"/>
    </row>
    <row r="107">
      <c r="A107" s="402"/>
      <c r="B107" s="305" t="s">
        <v>251</v>
      </c>
      <c r="C107" s="306" t="s">
        <v>221</v>
      </c>
      <c r="D107" s="306" t="s">
        <v>222</v>
      </c>
      <c r="E107" s="301" t="s">
        <v>223</v>
      </c>
      <c r="F107" s="301" t="s">
        <v>224</v>
      </c>
      <c r="G107" s="301" t="s">
        <v>66</v>
      </c>
      <c r="H107" s="301" t="s">
        <v>223</v>
      </c>
      <c r="I107" s="301" t="s">
        <v>224</v>
      </c>
      <c r="J107" s="301" t="s">
        <v>66</v>
      </c>
      <c r="K107" s="301" t="s">
        <v>223</v>
      </c>
      <c r="L107" s="301" t="s">
        <v>224</v>
      </c>
      <c r="M107" s="301" t="s">
        <v>66</v>
      </c>
      <c r="N107" s="301" t="s">
        <v>223</v>
      </c>
      <c r="O107" s="301" t="s">
        <v>224</v>
      </c>
      <c r="P107" s="301" t="s">
        <v>66</v>
      </c>
      <c r="Q107" s="301" t="s">
        <v>223</v>
      </c>
      <c r="R107" s="301" t="s">
        <v>224</v>
      </c>
      <c r="S107" s="301" t="s">
        <v>66</v>
      </c>
      <c r="T107" s="307" t="s">
        <v>225</v>
      </c>
      <c r="U107" s="421" t="s">
        <v>263</v>
      </c>
      <c r="V107" s="265"/>
      <c r="W107" s="275"/>
      <c r="X107" s="276"/>
      <c r="Y107" s="276"/>
      <c r="Z107" s="276"/>
      <c r="AA107" s="276"/>
      <c r="AB107" s="291"/>
      <c r="AC107" s="22"/>
      <c r="AD107" s="22"/>
      <c r="AE107" s="22"/>
      <c r="AF107" s="28"/>
      <c r="AG107" s="402"/>
    </row>
    <row r="108" ht="33.75" customHeight="1">
      <c r="A108" s="264"/>
      <c r="B108" s="308"/>
      <c r="C108" s="309">
        <v>1.0</v>
      </c>
      <c r="D108" s="360" t="s">
        <v>154</v>
      </c>
      <c r="E108" s="413">
        <v>10.0</v>
      </c>
      <c r="F108" s="413">
        <v>7.5</v>
      </c>
      <c r="G108" s="414"/>
      <c r="H108" s="413">
        <v>10.0</v>
      </c>
      <c r="I108" s="413">
        <v>7.5</v>
      </c>
      <c r="J108" s="317"/>
      <c r="K108" s="318"/>
      <c r="L108" s="316"/>
      <c r="M108" s="318"/>
      <c r="N108" s="315"/>
      <c r="O108" s="316"/>
      <c r="P108" s="317"/>
      <c r="Q108" s="318"/>
      <c r="R108" s="316"/>
      <c r="S108" s="318"/>
      <c r="T108" s="319">
        <f t="shared" ref="T108:T118" si="7">(E108*F108)+(H108*I108)+(K108*L108)+(N108*O108)+(Q108*R108)</f>
        <v>150</v>
      </c>
      <c r="U108" s="422"/>
      <c r="V108" s="265"/>
      <c r="W108" s="320">
        <v>1.0</v>
      </c>
      <c r="X108" s="321">
        <v>2.0</v>
      </c>
      <c r="Y108" s="322">
        <v>3.0</v>
      </c>
      <c r="Z108" s="323">
        <v>4.0</v>
      </c>
      <c r="AA108" s="324">
        <v>5.0</v>
      </c>
      <c r="AB108" s="325">
        <v>6.0</v>
      </c>
      <c r="AC108" s="326">
        <v>7.0</v>
      </c>
      <c r="AD108" s="327">
        <v>8.0</v>
      </c>
      <c r="AE108" s="328">
        <v>9.0</v>
      </c>
      <c r="AF108" s="329">
        <v>10.0</v>
      </c>
      <c r="AG108" s="37"/>
    </row>
    <row r="109" ht="33.75" customHeight="1">
      <c r="A109" s="264"/>
      <c r="B109" s="308"/>
      <c r="C109" s="330">
        <v>2.0</v>
      </c>
      <c r="D109" s="358" t="s">
        <v>155</v>
      </c>
      <c r="E109" s="427">
        <v>10.0</v>
      </c>
      <c r="F109" s="427">
        <v>25.0</v>
      </c>
      <c r="G109" s="416"/>
      <c r="H109" s="427">
        <v>13.0</v>
      </c>
      <c r="I109" s="415">
        <v>25.0</v>
      </c>
      <c r="J109" s="339"/>
      <c r="K109" s="336"/>
      <c r="L109" s="338"/>
      <c r="M109" s="336"/>
      <c r="N109" s="337"/>
      <c r="O109" s="338"/>
      <c r="P109" s="339"/>
      <c r="Q109" s="336"/>
      <c r="R109" s="338"/>
      <c r="S109" s="336"/>
      <c r="T109" s="319">
        <f t="shared" si="7"/>
        <v>575</v>
      </c>
      <c r="U109" s="422"/>
      <c r="V109" s="265"/>
      <c r="W109" s="340" t="s">
        <v>227</v>
      </c>
      <c r="X109" s="268"/>
      <c r="Y109" s="268"/>
      <c r="Z109" s="268"/>
      <c r="AA109" s="268"/>
      <c r="AB109" s="57"/>
      <c r="AC109" s="300"/>
      <c r="AD109" s="273"/>
      <c r="AE109" s="273"/>
      <c r="AF109" s="270"/>
      <c r="AG109" s="37"/>
    </row>
    <row r="110" ht="33.75" customHeight="1">
      <c r="A110" s="264"/>
      <c r="B110" s="308"/>
      <c r="C110" s="309">
        <v>3.0</v>
      </c>
      <c r="D110" s="360" t="s">
        <v>156</v>
      </c>
      <c r="E110" s="428">
        <v>8.0</v>
      </c>
      <c r="F110" s="428">
        <v>60.0</v>
      </c>
      <c r="G110" s="418"/>
      <c r="H110" s="417">
        <v>8.0</v>
      </c>
      <c r="I110" s="428">
        <v>60.0</v>
      </c>
      <c r="J110" s="344"/>
      <c r="K110" s="318"/>
      <c r="L110" s="346"/>
      <c r="M110" s="318"/>
      <c r="N110" s="345"/>
      <c r="O110" s="346"/>
      <c r="P110" s="344"/>
      <c r="Q110" s="318"/>
      <c r="R110" s="346"/>
      <c r="S110" s="318"/>
      <c r="T110" s="319">
        <f t="shared" si="7"/>
        <v>960</v>
      </c>
      <c r="U110" s="422"/>
      <c r="V110" s="265"/>
      <c r="W110" s="64"/>
      <c r="AB110" s="63"/>
      <c r="AF110" s="25"/>
      <c r="AG110" s="37"/>
    </row>
    <row r="111" ht="33.75" customHeight="1">
      <c r="A111" s="264"/>
      <c r="B111" s="308"/>
      <c r="C111" s="330">
        <v>4.0</v>
      </c>
      <c r="D111" s="358" t="s">
        <v>159</v>
      </c>
      <c r="E111" s="415">
        <v>12.0</v>
      </c>
      <c r="F111" s="427">
        <v>50.0</v>
      </c>
      <c r="G111" s="416"/>
      <c r="H111" s="415">
        <v>12.0</v>
      </c>
      <c r="I111" s="427">
        <v>50.0</v>
      </c>
      <c r="J111" s="339"/>
      <c r="K111" s="336"/>
      <c r="L111" s="338"/>
      <c r="M111" s="336"/>
      <c r="N111" s="337"/>
      <c r="O111" s="338"/>
      <c r="P111" s="339"/>
      <c r="Q111" s="336"/>
      <c r="R111" s="338"/>
      <c r="S111" s="336"/>
      <c r="T111" s="319">
        <f t="shared" si="7"/>
        <v>1200</v>
      </c>
      <c r="U111" s="422"/>
      <c r="V111" s="265"/>
      <c r="W111" s="275"/>
      <c r="X111" s="276"/>
      <c r="Y111" s="276"/>
      <c r="Z111" s="276"/>
      <c r="AA111" s="276"/>
      <c r="AB111" s="291"/>
      <c r="AC111" s="22"/>
      <c r="AD111" s="22"/>
      <c r="AE111" s="22"/>
      <c r="AF111" s="28"/>
      <c r="AG111" s="37"/>
    </row>
    <row r="112" ht="33.75" customHeight="1">
      <c r="A112" s="264"/>
      <c r="B112" s="308"/>
      <c r="C112" s="309">
        <v>5.0</v>
      </c>
      <c r="D112" s="360" t="s">
        <v>161</v>
      </c>
      <c r="E112" s="418"/>
      <c r="F112" s="418"/>
      <c r="G112" s="418"/>
      <c r="H112" s="418"/>
      <c r="I112" s="418"/>
      <c r="J112" s="344"/>
      <c r="K112" s="318"/>
      <c r="L112" s="346"/>
      <c r="M112" s="318"/>
      <c r="N112" s="345"/>
      <c r="O112" s="346"/>
      <c r="P112" s="344"/>
      <c r="Q112" s="318"/>
      <c r="R112" s="346"/>
      <c r="S112" s="318"/>
      <c r="T112" s="319">
        <f t="shared" si="7"/>
        <v>0</v>
      </c>
      <c r="U112" s="422"/>
      <c r="V112" s="265"/>
      <c r="W112" s="347">
        <v>1.0</v>
      </c>
      <c r="X112" s="348">
        <v>2.0</v>
      </c>
      <c r="Y112" s="349">
        <v>3.0</v>
      </c>
      <c r="Z112" s="350">
        <v>4.0</v>
      </c>
      <c r="AA112" s="351">
        <v>5.0</v>
      </c>
      <c r="AB112" s="352">
        <v>6.0</v>
      </c>
      <c r="AC112" s="353">
        <v>7.0</v>
      </c>
      <c r="AD112" s="354">
        <v>8.0</v>
      </c>
      <c r="AE112" s="355">
        <v>9.0</v>
      </c>
      <c r="AF112" s="356">
        <v>10.0</v>
      </c>
      <c r="AG112" s="37"/>
    </row>
    <row r="113" ht="33.75" customHeight="1">
      <c r="A113" s="264"/>
      <c r="B113" s="308"/>
      <c r="C113" s="330">
        <v>6.0</v>
      </c>
      <c r="D113" s="358" t="s">
        <v>107</v>
      </c>
      <c r="E113" s="415">
        <v>16.0</v>
      </c>
      <c r="F113" s="415">
        <v>10.0</v>
      </c>
      <c r="G113" s="419"/>
      <c r="H113" s="415">
        <v>21.0</v>
      </c>
      <c r="I113" s="415">
        <v>10.0</v>
      </c>
      <c r="J113" s="339"/>
      <c r="K113" s="336"/>
      <c r="L113" s="338"/>
      <c r="M113" s="336"/>
      <c r="N113" s="337"/>
      <c r="O113" s="338"/>
      <c r="P113" s="339"/>
      <c r="Q113" s="336"/>
      <c r="R113" s="338"/>
      <c r="S113" s="336"/>
      <c r="T113" s="319">
        <f t="shared" si="7"/>
        <v>370</v>
      </c>
      <c r="U113" s="422"/>
      <c r="V113" s="265"/>
      <c r="W113" s="293"/>
      <c r="X113" s="293"/>
      <c r="Y113" s="293"/>
      <c r="Z113" s="293"/>
      <c r="AA113" s="293"/>
      <c r="AB113" s="293"/>
      <c r="AC113" s="293"/>
      <c r="AD113" s="293"/>
      <c r="AE113" s="293"/>
      <c r="AF113" s="293"/>
      <c r="AG113" s="37"/>
    </row>
    <row r="114" ht="33.75" customHeight="1">
      <c r="A114" s="264"/>
      <c r="B114" s="308"/>
      <c r="C114" s="309">
        <v>7.0</v>
      </c>
      <c r="D114" s="360" t="s">
        <v>163</v>
      </c>
      <c r="E114" s="417">
        <v>16.0</v>
      </c>
      <c r="F114" s="417">
        <v>7.5</v>
      </c>
      <c r="G114" s="420"/>
      <c r="H114" s="417">
        <v>20.0</v>
      </c>
      <c r="I114" s="417">
        <v>7.5</v>
      </c>
      <c r="J114" s="344"/>
      <c r="K114" s="318"/>
      <c r="L114" s="346"/>
      <c r="M114" s="318"/>
      <c r="N114" s="345"/>
      <c r="O114" s="346"/>
      <c r="P114" s="344"/>
      <c r="Q114" s="318"/>
      <c r="R114" s="346"/>
      <c r="S114" s="318"/>
      <c r="T114" s="319">
        <f t="shared" si="7"/>
        <v>270</v>
      </c>
      <c r="U114" s="422"/>
      <c r="V114" s="265"/>
      <c r="W114" s="357" t="s">
        <v>231</v>
      </c>
      <c r="X114" s="268"/>
      <c r="Y114" s="268"/>
      <c r="Z114" s="268"/>
      <c r="AA114" s="268"/>
      <c r="AB114" s="268"/>
      <c r="AC114" s="268"/>
      <c r="AD114" s="268"/>
      <c r="AE114" s="268"/>
      <c r="AF114" s="57"/>
      <c r="AG114" s="37"/>
    </row>
    <row r="115" ht="33.75" customHeight="1">
      <c r="A115" s="264"/>
      <c r="B115" s="308"/>
      <c r="C115" s="330">
        <v>8.0</v>
      </c>
      <c r="D115" s="358"/>
      <c r="E115" s="336"/>
      <c r="F115" s="338"/>
      <c r="G115" s="336"/>
      <c r="H115" s="337"/>
      <c r="I115" s="338"/>
      <c r="J115" s="339"/>
      <c r="K115" s="336"/>
      <c r="L115" s="338"/>
      <c r="M115" s="336"/>
      <c r="N115" s="337"/>
      <c r="O115" s="338"/>
      <c r="P115" s="339"/>
      <c r="Q115" s="336"/>
      <c r="R115" s="338"/>
      <c r="S115" s="336"/>
      <c r="T115" s="319">
        <f t="shared" si="7"/>
        <v>0</v>
      </c>
      <c r="U115" s="422"/>
      <c r="V115" s="265"/>
      <c r="W115" s="370"/>
      <c r="X115" s="273"/>
      <c r="Y115" s="273"/>
      <c r="Z115" s="273"/>
      <c r="AA115" s="273"/>
      <c r="AB115" s="273"/>
      <c r="AC115" s="273"/>
      <c r="AD115" s="273"/>
      <c r="AE115" s="273"/>
      <c r="AF115" s="270"/>
      <c r="AG115" s="37"/>
    </row>
    <row r="116" ht="33.75" customHeight="1">
      <c r="A116" s="264"/>
      <c r="B116" s="308"/>
      <c r="C116" s="309">
        <v>9.0</v>
      </c>
      <c r="D116" s="360"/>
      <c r="E116" s="318"/>
      <c r="F116" s="346"/>
      <c r="G116" s="318"/>
      <c r="H116" s="345"/>
      <c r="I116" s="346"/>
      <c r="J116" s="344"/>
      <c r="K116" s="318"/>
      <c r="L116" s="346"/>
      <c r="M116" s="318"/>
      <c r="N116" s="345"/>
      <c r="O116" s="346"/>
      <c r="P116" s="344"/>
      <c r="Q116" s="318"/>
      <c r="R116" s="346"/>
      <c r="S116" s="318"/>
      <c r="T116" s="319">
        <f t="shared" si="7"/>
        <v>0</v>
      </c>
      <c r="U116" s="422"/>
      <c r="V116" s="265"/>
      <c r="W116" s="90"/>
      <c r="AF116" s="25"/>
      <c r="AG116" s="37"/>
    </row>
    <row r="117" ht="33.75" customHeight="1">
      <c r="A117" s="264"/>
      <c r="B117" s="308"/>
      <c r="C117" s="330">
        <v>10.0</v>
      </c>
      <c r="D117" s="358"/>
      <c r="E117" s="336"/>
      <c r="F117" s="338"/>
      <c r="G117" s="336"/>
      <c r="H117" s="337"/>
      <c r="I117" s="338"/>
      <c r="J117" s="339"/>
      <c r="K117" s="336"/>
      <c r="L117" s="338"/>
      <c r="M117" s="336"/>
      <c r="N117" s="337"/>
      <c r="O117" s="338"/>
      <c r="P117" s="339"/>
      <c r="Q117" s="336"/>
      <c r="R117" s="338"/>
      <c r="S117" s="336"/>
      <c r="T117" s="319">
        <f t="shared" si="7"/>
        <v>0</v>
      </c>
      <c r="U117" s="422"/>
      <c r="V117" s="265"/>
      <c r="W117" s="90"/>
      <c r="AF117" s="25"/>
      <c r="AG117" s="37"/>
    </row>
    <row r="118" ht="33.75" customHeight="1">
      <c r="A118" s="264"/>
      <c r="B118" s="361"/>
      <c r="C118" s="362">
        <v>11.0</v>
      </c>
      <c r="D118" s="363"/>
      <c r="E118" s="364"/>
      <c r="F118" s="365"/>
      <c r="G118" s="364"/>
      <c r="H118" s="366"/>
      <c r="I118" s="365"/>
      <c r="J118" s="367"/>
      <c r="K118" s="364"/>
      <c r="L118" s="365"/>
      <c r="M118" s="364"/>
      <c r="N118" s="366"/>
      <c r="O118" s="365"/>
      <c r="P118" s="367"/>
      <c r="Q118" s="364"/>
      <c r="R118" s="365"/>
      <c r="S118" s="364"/>
      <c r="T118" s="319">
        <f t="shared" si="7"/>
        <v>0</v>
      </c>
      <c r="U118" s="422"/>
      <c r="V118" s="265"/>
      <c r="W118" s="27"/>
      <c r="X118" s="22"/>
      <c r="Y118" s="22"/>
      <c r="Z118" s="22"/>
      <c r="AA118" s="22"/>
      <c r="AB118" s="22"/>
      <c r="AC118" s="22"/>
      <c r="AD118" s="22"/>
      <c r="AE118" s="22"/>
      <c r="AF118" s="28"/>
      <c r="AG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>
      <c r="A120" s="37"/>
      <c r="B120" s="265"/>
      <c r="C120" s="294" t="s">
        <v>209</v>
      </c>
      <c r="D120" s="295"/>
      <c r="E120" s="296" t="s">
        <v>257</v>
      </c>
      <c r="F120" s="297"/>
      <c r="G120" s="297"/>
      <c r="H120" s="297"/>
      <c r="I120" s="297"/>
      <c r="J120" s="297"/>
      <c r="K120" s="297"/>
      <c r="L120" s="297"/>
      <c r="M120" s="282"/>
      <c r="N120" s="298" t="s">
        <v>211</v>
      </c>
      <c r="O120" s="268"/>
      <c r="P120" s="57"/>
      <c r="Q120" s="286"/>
      <c r="R120" s="268"/>
      <c r="S120" s="57"/>
      <c r="T120" s="292"/>
      <c r="U120" s="265"/>
      <c r="V120" s="265"/>
      <c r="W120" s="299" t="s">
        <v>213</v>
      </c>
      <c r="X120" s="268"/>
      <c r="Y120" s="268"/>
      <c r="Z120" s="268"/>
      <c r="AA120" s="268"/>
      <c r="AB120" s="57"/>
      <c r="AC120" s="300">
        <v>9.0</v>
      </c>
      <c r="AD120" s="273"/>
      <c r="AE120" s="273"/>
      <c r="AF120" s="270"/>
      <c r="AG120" s="37"/>
    </row>
    <row r="121">
      <c r="A121" s="37"/>
      <c r="B121" s="265"/>
      <c r="C121" s="301" t="s">
        <v>214</v>
      </c>
      <c r="D121" s="302">
        <v>45896.0</v>
      </c>
      <c r="E121" s="303" t="s">
        <v>215</v>
      </c>
      <c r="F121" s="22"/>
      <c r="G121" s="28"/>
      <c r="H121" s="304" t="s">
        <v>216</v>
      </c>
      <c r="I121" s="297"/>
      <c r="J121" s="282"/>
      <c r="K121" s="304" t="s">
        <v>217</v>
      </c>
      <c r="L121" s="297"/>
      <c r="M121" s="282"/>
      <c r="N121" s="304" t="s">
        <v>218</v>
      </c>
      <c r="O121" s="297"/>
      <c r="P121" s="282"/>
      <c r="Q121" s="304" t="s">
        <v>219</v>
      </c>
      <c r="R121" s="297"/>
      <c r="S121" s="282"/>
      <c r="T121" s="265"/>
      <c r="U121" s="265"/>
      <c r="V121" s="265"/>
      <c r="W121" s="64"/>
      <c r="AB121" s="63"/>
      <c r="AF121" s="25"/>
      <c r="AG121" s="37"/>
    </row>
    <row r="122">
      <c r="A122" s="37"/>
      <c r="B122" s="305" t="s">
        <v>255</v>
      </c>
      <c r="C122" s="306" t="s">
        <v>221</v>
      </c>
      <c r="D122" s="406" t="s">
        <v>222</v>
      </c>
      <c r="E122" s="301" t="s">
        <v>223</v>
      </c>
      <c r="F122" s="301" t="s">
        <v>224</v>
      </c>
      <c r="G122" s="301" t="s">
        <v>66</v>
      </c>
      <c r="H122" s="301" t="s">
        <v>223</v>
      </c>
      <c r="I122" s="301" t="s">
        <v>224</v>
      </c>
      <c r="J122" s="301" t="s">
        <v>66</v>
      </c>
      <c r="K122" s="301" t="s">
        <v>223</v>
      </c>
      <c r="L122" s="301" t="s">
        <v>224</v>
      </c>
      <c r="M122" s="301" t="s">
        <v>66</v>
      </c>
      <c r="N122" s="301" t="s">
        <v>223</v>
      </c>
      <c r="O122" s="301" t="s">
        <v>224</v>
      </c>
      <c r="P122" s="301" t="s">
        <v>66</v>
      </c>
      <c r="Q122" s="301" t="s">
        <v>223</v>
      </c>
      <c r="R122" s="301" t="s">
        <v>224</v>
      </c>
      <c r="S122" s="301" t="s">
        <v>66</v>
      </c>
      <c r="T122" s="307" t="s">
        <v>225</v>
      </c>
      <c r="U122" s="421" t="s">
        <v>263</v>
      </c>
      <c r="V122" s="265"/>
      <c r="W122" s="275"/>
      <c r="X122" s="276"/>
      <c r="Y122" s="276"/>
      <c r="Z122" s="276"/>
      <c r="AA122" s="276"/>
      <c r="AB122" s="291"/>
      <c r="AC122" s="22"/>
      <c r="AD122" s="22"/>
      <c r="AE122" s="22"/>
      <c r="AF122" s="28"/>
      <c r="AG122" s="37"/>
    </row>
    <row r="123">
      <c r="A123" s="37"/>
      <c r="B123" s="308"/>
      <c r="C123" s="309">
        <v>1.0</v>
      </c>
      <c r="D123" s="373" t="s">
        <v>127</v>
      </c>
      <c r="E123" s="256">
        <v>12.0</v>
      </c>
      <c r="F123" s="312">
        <v>10.0</v>
      </c>
      <c r="G123" s="318"/>
      <c r="H123" s="313">
        <v>11.0</v>
      </c>
      <c r="I123" s="312">
        <v>10.0</v>
      </c>
      <c r="J123" s="317"/>
      <c r="K123" s="318"/>
      <c r="L123" s="316"/>
      <c r="M123" s="318"/>
      <c r="N123" s="315"/>
      <c r="O123" s="316"/>
      <c r="P123" s="317"/>
      <c r="Q123" s="318"/>
      <c r="R123" s="316"/>
      <c r="S123" s="318"/>
      <c r="T123" s="319">
        <f t="shared" ref="T123:T133" si="8">(E123*F123)+(H123*I123)+(K123*L123)+(N123*O123)+(Q123*R123)</f>
        <v>230</v>
      </c>
      <c r="U123" s="422"/>
      <c r="V123" s="265"/>
      <c r="W123" s="320">
        <v>1.0</v>
      </c>
      <c r="X123" s="321">
        <v>2.0</v>
      </c>
      <c r="Y123" s="322">
        <v>3.0</v>
      </c>
      <c r="Z123" s="323">
        <v>4.0</v>
      </c>
      <c r="AA123" s="324">
        <v>5.0</v>
      </c>
      <c r="AB123" s="325">
        <v>6.0</v>
      </c>
      <c r="AC123" s="326">
        <v>7.0</v>
      </c>
      <c r="AD123" s="327">
        <v>8.0</v>
      </c>
      <c r="AE123" s="328">
        <v>9.0</v>
      </c>
      <c r="AF123" s="329">
        <v>10.0</v>
      </c>
      <c r="AG123" s="37"/>
    </row>
    <row r="124">
      <c r="A124" s="37"/>
      <c r="B124" s="308"/>
      <c r="C124" s="330">
        <v>2.0</v>
      </c>
      <c r="D124" s="377" t="s">
        <v>178</v>
      </c>
      <c r="E124" s="423">
        <v>10.0</v>
      </c>
      <c r="F124" s="333">
        <v>20.0</v>
      </c>
      <c r="G124" s="336"/>
      <c r="H124" s="334">
        <v>7.0</v>
      </c>
      <c r="I124" s="333">
        <v>25.0</v>
      </c>
      <c r="J124" s="339"/>
      <c r="K124" s="336"/>
      <c r="L124" s="338"/>
      <c r="M124" s="336"/>
      <c r="N124" s="337"/>
      <c r="O124" s="338"/>
      <c r="P124" s="339"/>
      <c r="Q124" s="336"/>
      <c r="R124" s="338"/>
      <c r="S124" s="336"/>
      <c r="T124" s="319">
        <f t="shared" si="8"/>
        <v>375</v>
      </c>
      <c r="U124" s="422"/>
      <c r="V124" s="265"/>
      <c r="W124" s="340" t="s">
        <v>227</v>
      </c>
      <c r="X124" s="268"/>
      <c r="Y124" s="268"/>
      <c r="Z124" s="268"/>
      <c r="AA124" s="268"/>
      <c r="AB124" s="57"/>
      <c r="AC124" s="300">
        <v>9.0</v>
      </c>
      <c r="AD124" s="273"/>
      <c r="AE124" s="273"/>
      <c r="AF124" s="270"/>
      <c r="AG124" s="37"/>
    </row>
    <row r="125">
      <c r="A125" s="37"/>
      <c r="B125" s="308"/>
      <c r="C125" s="309">
        <v>3.0</v>
      </c>
      <c r="D125" s="382" t="s">
        <v>179</v>
      </c>
      <c r="E125" s="259">
        <v>8.0</v>
      </c>
      <c r="F125" s="383">
        <v>50.0</v>
      </c>
      <c r="G125" s="318"/>
      <c r="H125" s="343">
        <v>6.0</v>
      </c>
      <c r="I125" s="342">
        <v>50.0</v>
      </c>
      <c r="J125" s="344"/>
      <c r="K125" s="318"/>
      <c r="L125" s="346"/>
      <c r="M125" s="318"/>
      <c r="N125" s="345"/>
      <c r="O125" s="346"/>
      <c r="P125" s="344"/>
      <c r="Q125" s="318"/>
      <c r="R125" s="346"/>
      <c r="S125" s="318"/>
      <c r="T125" s="319">
        <f t="shared" si="8"/>
        <v>700</v>
      </c>
      <c r="U125" s="422"/>
      <c r="V125" s="265"/>
      <c r="W125" s="64"/>
      <c r="AB125" s="63"/>
      <c r="AF125" s="25"/>
      <c r="AG125" s="37"/>
    </row>
    <row r="126">
      <c r="A126" s="37"/>
      <c r="B126" s="308"/>
      <c r="C126" s="330">
        <v>4.0</v>
      </c>
      <c r="D126" s="377" t="s">
        <v>180</v>
      </c>
      <c r="E126" s="423">
        <v>9.0</v>
      </c>
      <c r="F126" s="379">
        <v>30.0</v>
      </c>
      <c r="G126" s="336"/>
      <c r="H126" s="334">
        <v>8.0</v>
      </c>
      <c r="I126" s="333">
        <v>30.0</v>
      </c>
      <c r="J126" s="339"/>
      <c r="K126" s="336"/>
      <c r="L126" s="338"/>
      <c r="M126" s="336"/>
      <c r="N126" s="337"/>
      <c r="O126" s="338"/>
      <c r="P126" s="339"/>
      <c r="Q126" s="336"/>
      <c r="R126" s="338"/>
      <c r="S126" s="336"/>
      <c r="T126" s="319">
        <f t="shared" si="8"/>
        <v>510</v>
      </c>
      <c r="U126" s="422"/>
      <c r="V126" s="265"/>
      <c r="W126" s="275"/>
      <c r="X126" s="276"/>
      <c r="Y126" s="276"/>
      <c r="Z126" s="276"/>
      <c r="AA126" s="276"/>
      <c r="AB126" s="291"/>
      <c r="AC126" s="22"/>
      <c r="AD126" s="22"/>
      <c r="AE126" s="22"/>
      <c r="AF126" s="28"/>
      <c r="AG126" s="37"/>
    </row>
    <row r="127">
      <c r="A127" s="37"/>
      <c r="B127" s="308"/>
      <c r="C127" s="309">
        <v>5.0</v>
      </c>
      <c r="D127" s="382" t="s">
        <v>141</v>
      </c>
      <c r="E127" s="259">
        <v>12.0</v>
      </c>
      <c r="F127" s="383">
        <v>15.0</v>
      </c>
      <c r="G127" s="318"/>
      <c r="H127" s="343">
        <v>12.0</v>
      </c>
      <c r="I127" s="342">
        <v>15.0</v>
      </c>
      <c r="J127" s="344"/>
      <c r="K127" s="318"/>
      <c r="L127" s="346"/>
      <c r="M127" s="318"/>
      <c r="N127" s="345"/>
      <c r="O127" s="346"/>
      <c r="P127" s="344"/>
      <c r="Q127" s="318"/>
      <c r="R127" s="346"/>
      <c r="S127" s="318"/>
      <c r="T127" s="319">
        <f t="shared" si="8"/>
        <v>360</v>
      </c>
      <c r="U127" s="422"/>
      <c r="V127" s="265"/>
      <c r="W127" s="347">
        <v>1.0</v>
      </c>
      <c r="X127" s="348">
        <v>2.0</v>
      </c>
      <c r="Y127" s="349">
        <v>3.0</v>
      </c>
      <c r="Z127" s="350">
        <v>4.0</v>
      </c>
      <c r="AA127" s="351">
        <v>5.0</v>
      </c>
      <c r="AB127" s="352">
        <v>6.0</v>
      </c>
      <c r="AC127" s="353">
        <v>7.0</v>
      </c>
      <c r="AD127" s="354">
        <v>8.0</v>
      </c>
      <c r="AE127" s="355">
        <v>9.0</v>
      </c>
      <c r="AF127" s="356">
        <v>10.0</v>
      </c>
      <c r="AG127" s="37"/>
    </row>
    <row r="128">
      <c r="A128" s="37"/>
      <c r="B128" s="308"/>
      <c r="C128" s="330">
        <v>6.0</v>
      </c>
      <c r="D128" s="331" t="s">
        <v>139</v>
      </c>
      <c r="E128" s="423"/>
      <c r="F128" s="379">
        <v>40.0</v>
      </c>
      <c r="G128" s="336"/>
      <c r="H128" s="334"/>
      <c r="I128" s="333">
        <v>40.0</v>
      </c>
      <c r="J128" s="339"/>
      <c r="K128" s="336"/>
      <c r="L128" s="338"/>
      <c r="M128" s="336"/>
      <c r="N128" s="337"/>
      <c r="O128" s="338"/>
      <c r="P128" s="339"/>
      <c r="Q128" s="336"/>
      <c r="R128" s="338"/>
      <c r="S128" s="336"/>
      <c r="T128" s="319">
        <f t="shared" si="8"/>
        <v>0</v>
      </c>
      <c r="U128" s="422"/>
      <c r="V128" s="265"/>
      <c r="W128" s="293"/>
      <c r="X128" s="293"/>
      <c r="Y128" s="293"/>
      <c r="Z128" s="293"/>
      <c r="AA128" s="293"/>
      <c r="AB128" s="293"/>
      <c r="AC128" s="293"/>
      <c r="AD128" s="293"/>
      <c r="AE128" s="293"/>
      <c r="AF128" s="293"/>
      <c r="AG128" s="37"/>
    </row>
    <row r="129">
      <c r="A129" s="37"/>
      <c r="B129" s="308"/>
      <c r="C129" s="309">
        <v>7.0</v>
      </c>
      <c r="D129" s="382" t="s">
        <v>88</v>
      </c>
      <c r="E129" s="259">
        <v>14.0</v>
      </c>
      <c r="F129" s="383">
        <v>6.0</v>
      </c>
      <c r="G129" s="318"/>
      <c r="H129" s="343">
        <v>18.0</v>
      </c>
      <c r="I129" s="342">
        <v>6.0</v>
      </c>
      <c r="J129" s="344"/>
      <c r="K129" s="318"/>
      <c r="L129" s="346"/>
      <c r="M129" s="318"/>
      <c r="N129" s="345"/>
      <c r="O129" s="346"/>
      <c r="P129" s="344"/>
      <c r="Q129" s="318"/>
      <c r="R129" s="346"/>
      <c r="S129" s="318"/>
      <c r="T129" s="319">
        <f t="shared" si="8"/>
        <v>192</v>
      </c>
      <c r="U129" s="422"/>
      <c r="V129" s="265"/>
      <c r="W129" s="357" t="s">
        <v>231</v>
      </c>
      <c r="X129" s="268"/>
      <c r="Y129" s="268"/>
      <c r="Z129" s="268"/>
      <c r="AA129" s="268"/>
      <c r="AB129" s="268"/>
      <c r="AC129" s="268"/>
      <c r="AD129" s="268"/>
      <c r="AE129" s="268"/>
      <c r="AF129" s="57"/>
      <c r="AG129" s="37"/>
    </row>
    <row r="130">
      <c r="A130" s="37"/>
      <c r="B130" s="308"/>
      <c r="C130" s="330">
        <v>8.0</v>
      </c>
      <c r="D130" s="331"/>
      <c r="E130" s="336"/>
      <c r="F130" s="338"/>
      <c r="G130" s="336"/>
      <c r="H130" s="337"/>
      <c r="I130" s="338"/>
      <c r="J130" s="339"/>
      <c r="K130" s="336"/>
      <c r="L130" s="338"/>
      <c r="M130" s="336"/>
      <c r="N130" s="337"/>
      <c r="O130" s="338"/>
      <c r="P130" s="339"/>
      <c r="Q130" s="336"/>
      <c r="R130" s="338"/>
      <c r="S130" s="336"/>
      <c r="T130" s="319">
        <f t="shared" si="8"/>
        <v>0</v>
      </c>
      <c r="U130" s="422"/>
      <c r="V130" s="265"/>
      <c r="W130" s="359" t="s">
        <v>232</v>
      </c>
      <c r="X130" s="273"/>
      <c r="Y130" s="273"/>
      <c r="Z130" s="273"/>
      <c r="AA130" s="273"/>
      <c r="AB130" s="273"/>
      <c r="AC130" s="273"/>
      <c r="AD130" s="273"/>
      <c r="AE130" s="273"/>
      <c r="AF130" s="270"/>
      <c r="AG130" s="37"/>
    </row>
    <row r="131">
      <c r="A131" s="37"/>
      <c r="B131" s="308"/>
      <c r="C131" s="309">
        <v>9.0</v>
      </c>
      <c r="D131" s="360"/>
      <c r="E131" s="318"/>
      <c r="F131" s="346"/>
      <c r="G131" s="318"/>
      <c r="H131" s="345"/>
      <c r="I131" s="346"/>
      <c r="J131" s="344"/>
      <c r="K131" s="318"/>
      <c r="L131" s="346"/>
      <c r="M131" s="318"/>
      <c r="N131" s="345"/>
      <c r="O131" s="346"/>
      <c r="P131" s="344"/>
      <c r="Q131" s="318"/>
      <c r="R131" s="346"/>
      <c r="S131" s="318"/>
      <c r="T131" s="319">
        <f t="shared" si="8"/>
        <v>0</v>
      </c>
      <c r="U131" s="422"/>
      <c r="V131" s="265"/>
      <c r="W131" s="90"/>
      <c r="AF131" s="25"/>
      <c r="AG131" s="37"/>
    </row>
    <row r="132">
      <c r="A132" s="37"/>
      <c r="B132" s="308"/>
      <c r="C132" s="330">
        <v>10.0</v>
      </c>
      <c r="D132" s="358"/>
      <c r="E132" s="336"/>
      <c r="F132" s="338"/>
      <c r="G132" s="336"/>
      <c r="H132" s="337"/>
      <c r="I132" s="338"/>
      <c r="J132" s="339"/>
      <c r="K132" s="336"/>
      <c r="L132" s="338"/>
      <c r="M132" s="336"/>
      <c r="N132" s="337"/>
      <c r="O132" s="338"/>
      <c r="P132" s="339"/>
      <c r="Q132" s="336"/>
      <c r="R132" s="338"/>
      <c r="S132" s="336"/>
      <c r="T132" s="319">
        <f t="shared" si="8"/>
        <v>0</v>
      </c>
      <c r="U132" s="422"/>
      <c r="V132" s="265"/>
      <c r="W132" s="90"/>
      <c r="AF132" s="25"/>
      <c r="AG132" s="37"/>
    </row>
    <row r="133">
      <c r="A133" s="37"/>
      <c r="B133" s="361"/>
      <c r="C133" s="362">
        <v>11.0</v>
      </c>
      <c r="D133" s="363"/>
      <c r="E133" s="364"/>
      <c r="F133" s="365"/>
      <c r="G133" s="364"/>
      <c r="H133" s="366"/>
      <c r="I133" s="365"/>
      <c r="J133" s="367"/>
      <c r="K133" s="364"/>
      <c r="L133" s="365"/>
      <c r="M133" s="364"/>
      <c r="N133" s="366"/>
      <c r="O133" s="365"/>
      <c r="P133" s="367"/>
      <c r="Q133" s="364"/>
      <c r="R133" s="365"/>
      <c r="S133" s="364"/>
      <c r="T133" s="319">
        <f t="shared" si="8"/>
        <v>0</v>
      </c>
      <c r="U133" s="422"/>
      <c r="V133" s="265"/>
      <c r="W133" s="27"/>
      <c r="X133" s="22"/>
      <c r="Y133" s="22"/>
      <c r="Z133" s="22"/>
      <c r="AA133" s="22"/>
      <c r="AB133" s="22"/>
      <c r="AC133" s="22"/>
      <c r="AD133" s="22"/>
      <c r="AE133" s="22"/>
      <c r="AF133" s="28"/>
      <c r="AG133" s="37"/>
    </row>
    <row r="134">
      <c r="A134" s="37"/>
      <c r="B134" s="368"/>
      <c r="C134" s="265"/>
      <c r="D134" s="265"/>
      <c r="E134" s="265"/>
      <c r="F134" s="265"/>
      <c r="G134" s="265"/>
      <c r="H134" s="265"/>
      <c r="I134" s="292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93"/>
      <c r="X134" s="293"/>
      <c r="Y134" s="293"/>
      <c r="Z134" s="293"/>
      <c r="AA134" s="293"/>
      <c r="AB134" s="293"/>
      <c r="AC134" s="293"/>
      <c r="AD134" s="293"/>
      <c r="AE134" s="293"/>
      <c r="AF134" s="293"/>
      <c r="AG134" s="37"/>
    </row>
    <row r="135">
      <c r="A135" s="37"/>
      <c r="B135" s="265"/>
      <c r="C135" s="294" t="s">
        <v>209</v>
      </c>
      <c r="D135" s="295"/>
      <c r="E135" s="296" t="s">
        <v>244</v>
      </c>
      <c r="F135" s="297"/>
      <c r="G135" s="297"/>
      <c r="H135" s="297"/>
      <c r="I135" s="297"/>
      <c r="J135" s="297"/>
      <c r="K135" s="297"/>
      <c r="L135" s="297"/>
      <c r="M135" s="282"/>
      <c r="N135" s="298" t="s">
        <v>211</v>
      </c>
      <c r="O135" s="268"/>
      <c r="P135" s="57"/>
      <c r="Q135" s="286"/>
      <c r="R135" s="268"/>
      <c r="S135" s="57"/>
      <c r="T135" s="292"/>
      <c r="U135" s="265"/>
      <c r="V135" s="265"/>
      <c r="W135" s="299" t="s">
        <v>213</v>
      </c>
      <c r="X135" s="268"/>
      <c r="Y135" s="268"/>
      <c r="Z135" s="268"/>
      <c r="AA135" s="268"/>
      <c r="AB135" s="57"/>
      <c r="AC135" s="300">
        <v>8.0</v>
      </c>
      <c r="AD135" s="273"/>
      <c r="AE135" s="273"/>
      <c r="AF135" s="270"/>
      <c r="AG135" s="37"/>
    </row>
    <row r="136">
      <c r="A136" s="37"/>
      <c r="B136" s="265"/>
      <c r="C136" s="301" t="s">
        <v>214</v>
      </c>
      <c r="D136" s="302">
        <v>45898.0</v>
      </c>
      <c r="E136" s="303" t="s">
        <v>215</v>
      </c>
      <c r="F136" s="22"/>
      <c r="G136" s="28"/>
      <c r="H136" s="304" t="s">
        <v>216</v>
      </c>
      <c r="I136" s="297"/>
      <c r="J136" s="282"/>
      <c r="K136" s="304" t="s">
        <v>217</v>
      </c>
      <c r="L136" s="297"/>
      <c r="M136" s="282"/>
      <c r="N136" s="304" t="s">
        <v>218</v>
      </c>
      <c r="O136" s="297"/>
      <c r="P136" s="282"/>
      <c r="Q136" s="304" t="s">
        <v>219</v>
      </c>
      <c r="R136" s="297"/>
      <c r="S136" s="282"/>
      <c r="T136" s="265"/>
      <c r="U136" s="265"/>
      <c r="V136" s="265"/>
      <c r="W136" s="64"/>
      <c r="AB136" s="63"/>
      <c r="AF136" s="25"/>
      <c r="AG136" s="37"/>
    </row>
    <row r="137">
      <c r="A137" s="37"/>
      <c r="B137" s="305" t="s">
        <v>256</v>
      </c>
      <c r="C137" s="306" t="s">
        <v>221</v>
      </c>
      <c r="D137" s="306" t="s">
        <v>222</v>
      </c>
      <c r="E137" s="301" t="s">
        <v>223</v>
      </c>
      <c r="F137" s="301" t="s">
        <v>224</v>
      </c>
      <c r="G137" s="301" t="s">
        <v>66</v>
      </c>
      <c r="H137" s="301" t="s">
        <v>223</v>
      </c>
      <c r="I137" s="301" t="s">
        <v>224</v>
      </c>
      <c r="J137" s="301" t="s">
        <v>66</v>
      </c>
      <c r="K137" s="301" t="s">
        <v>223</v>
      </c>
      <c r="L137" s="301" t="s">
        <v>224</v>
      </c>
      <c r="M137" s="301" t="s">
        <v>66</v>
      </c>
      <c r="N137" s="301" t="s">
        <v>223</v>
      </c>
      <c r="O137" s="301" t="s">
        <v>224</v>
      </c>
      <c r="P137" s="301" t="s">
        <v>66</v>
      </c>
      <c r="Q137" s="301" t="s">
        <v>223</v>
      </c>
      <c r="R137" s="301" t="s">
        <v>224</v>
      </c>
      <c r="S137" s="301" t="s">
        <v>66</v>
      </c>
      <c r="T137" s="307" t="s">
        <v>225</v>
      </c>
      <c r="U137" s="421" t="s">
        <v>263</v>
      </c>
      <c r="V137" s="265"/>
      <c r="W137" s="275"/>
      <c r="X137" s="276"/>
      <c r="Y137" s="276"/>
      <c r="Z137" s="276"/>
      <c r="AA137" s="276"/>
      <c r="AB137" s="291"/>
      <c r="AC137" s="22"/>
      <c r="AD137" s="22"/>
      <c r="AE137" s="22"/>
      <c r="AF137" s="28"/>
      <c r="AG137" s="37"/>
    </row>
    <row r="138">
      <c r="A138" s="37"/>
      <c r="B138" s="308"/>
      <c r="C138" s="309">
        <v>1.0</v>
      </c>
      <c r="D138" s="373" t="s">
        <v>167</v>
      </c>
      <c r="E138" s="374">
        <v>12.0</v>
      </c>
      <c r="F138" s="375">
        <v>55.0</v>
      </c>
      <c r="G138" s="384"/>
      <c r="H138" s="376">
        <v>16.0</v>
      </c>
      <c r="I138" s="375">
        <v>55.0</v>
      </c>
      <c r="J138" s="317"/>
      <c r="K138" s="318"/>
      <c r="L138" s="316"/>
      <c r="M138" s="318"/>
      <c r="N138" s="315"/>
      <c r="O138" s="316"/>
      <c r="P138" s="317"/>
      <c r="Q138" s="318"/>
      <c r="R138" s="316"/>
      <c r="S138" s="318"/>
      <c r="T138" s="319">
        <f t="shared" ref="T138:T148" si="9">(E138*F138)+(H138*I138)+(K138*L138)+(N138*O138)+(Q138*R138)</f>
        <v>1540</v>
      </c>
      <c r="U138" s="422"/>
      <c r="V138" s="265"/>
      <c r="W138" s="320">
        <v>1.0</v>
      </c>
      <c r="X138" s="321">
        <v>2.0</v>
      </c>
      <c r="Y138" s="322">
        <v>3.0</v>
      </c>
      <c r="Z138" s="323">
        <v>4.0</v>
      </c>
      <c r="AA138" s="324">
        <v>5.0</v>
      </c>
      <c r="AB138" s="325">
        <v>6.0</v>
      </c>
      <c r="AC138" s="326">
        <v>7.0</v>
      </c>
      <c r="AD138" s="327">
        <v>8.0</v>
      </c>
      <c r="AE138" s="328">
        <v>9.0</v>
      </c>
      <c r="AF138" s="329">
        <v>10.0</v>
      </c>
      <c r="AG138" s="37"/>
    </row>
    <row r="139">
      <c r="A139" s="37"/>
      <c r="B139" s="308"/>
      <c r="C139" s="330">
        <v>2.0</v>
      </c>
      <c r="D139" s="377" t="s">
        <v>189</v>
      </c>
      <c r="E139" s="378">
        <v>10.0</v>
      </c>
      <c r="F139" s="379">
        <v>30.0</v>
      </c>
      <c r="G139" s="380"/>
      <c r="H139" s="381">
        <v>12.0</v>
      </c>
      <c r="I139" s="379">
        <v>25.0</v>
      </c>
      <c r="J139" s="339"/>
      <c r="K139" s="381">
        <v>16.0</v>
      </c>
      <c r="L139" s="379">
        <v>20.0</v>
      </c>
      <c r="M139" s="336"/>
      <c r="N139" s="337"/>
      <c r="O139" s="338"/>
      <c r="P139" s="339"/>
      <c r="Q139" s="336"/>
      <c r="R139" s="338"/>
      <c r="S139" s="336"/>
      <c r="T139" s="319">
        <f t="shared" si="9"/>
        <v>920</v>
      </c>
      <c r="U139" s="422"/>
      <c r="V139" s="265"/>
      <c r="W139" s="340" t="s">
        <v>227</v>
      </c>
      <c r="X139" s="268"/>
      <c r="Y139" s="268"/>
      <c r="Z139" s="268"/>
      <c r="AA139" s="268"/>
      <c r="AB139" s="57"/>
      <c r="AC139" s="300">
        <v>8.0</v>
      </c>
      <c r="AD139" s="273"/>
      <c r="AE139" s="273"/>
      <c r="AF139" s="270"/>
      <c r="AG139" s="37"/>
    </row>
    <row r="140">
      <c r="A140" s="37"/>
      <c r="B140" s="308"/>
      <c r="C140" s="309">
        <v>3.0</v>
      </c>
      <c r="D140" s="382" t="s">
        <v>190</v>
      </c>
      <c r="E140" s="374">
        <v>13.0</v>
      </c>
      <c r="F140" s="383">
        <v>60.0</v>
      </c>
      <c r="G140" s="384"/>
      <c r="H140" s="385">
        <v>12.0</v>
      </c>
      <c r="I140" s="383">
        <v>60.0</v>
      </c>
      <c r="J140" s="344"/>
      <c r="K140" s="318"/>
      <c r="L140" s="346"/>
      <c r="M140" s="318"/>
      <c r="N140" s="345"/>
      <c r="O140" s="346"/>
      <c r="P140" s="344"/>
      <c r="Q140" s="318"/>
      <c r="R140" s="346"/>
      <c r="S140" s="318"/>
      <c r="T140" s="319">
        <f t="shared" si="9"/>
        <v>1500</v>
      </c>
      <c r="U140" s="422"/>
      <c r="V140" s="265"/>
      <c r="W140" s="64"/>
      <c r="AB140" s="63"/>
      <c r="AF140" s="25"/>
      <c r="AG140" s="37"/>
    </row>
    <row r="141">
      <c r="A141" s="37"/>
      <c r="B141" s="308"/>
      <c r="C141" s="330">
        <v>4.0</v>
      </c>
      <c r="D141" s="377" t="s">
        <v>191</v>
      </c>
      <c r="E141" s="378">
        <v>10.0</v>
      </c>
      <c r="F141" s="379">
        <v>100.0</v>
      </c>
      <c r="G141" s="380"/>
      <c r="H141" s="381">
        <v>10.0</v>
      </c>
      <c r="I141" s="379">
        <v>100.0</v>
      </c>
      <c r="J141" s="339"/>
      <c r="K141" s="336"/>
      <c r="L141" s="338"/>
      <c r="M141" s="336"/>
      <c r="N141" s="337"/>
      <c r="O141" s="338"/>
      <c r="P141" s="339"/>
      <c r="Q141" s="336"/>
      <c r="R141" s="338"/>
      <c r="S141" s="336"/>
      <c r="T141" s="319">
        <f t="shared" si="9"/>
        <v>2000</v>
      </c>
      <c r="U141" s="422"/>
      <c r="V141" s="265"/>
      <c r="W141" s="275"/>
      <c r="X141" s="276"/>
      <c r="Y141" s="276"/>
      <c r="Z141" s="276"/>
      <c r="AA141" s="276"/>
      <c r="AB141" s="291"/>
      <c r="AC141" s="22"/>
      <c r="AD141" s="22"/>
      <c r="AE141" s="22"/>
      <c r="AF141" s="28"/>
      <c r="AG141" s="37"/>
    </row>
    <row r="142">
      <c r="A142" s="37"/>
      <c r="B142" s="308"/>
      <c r="C142" s="309">
        <v>5.0</v>
      </c>
      <c r="D142" s="382" t="s">
        <v>192</v>
      </c>
      <c r="E142" s="374">
        <v>6.0</v>
      </c>
      <c r="F142" s="383">
        <v>80.0</v>
      </c>
      <c r="G142" s="384"/>
      <c r="H142" s="385">
        <v>8.0</v>
      </c>
      <c r="I142" s="383">
        <v>60.0</v>
      </c>
      <c r="J142" s="344"/>
      <c r="K142" s="318"/>
      <c r="L142" s="346"/>
      <c r="M142" s="318"/>
      <c r="N142" s="345"/>
      <c r="O142" s="346"/>
      <c r="P142" s="344"/>
      <c r="Q142" s="318"/>
      <c r="R142" s="346"/>
      <c r="S142" s="318"/>
      <c r="T142" s="319">
        <f t="shared" si="9"/>
        <v>960</v>
      </c>
      <c r="U142" s="422"/>
      <c r="V142" s="265"/>
      <c r="W142" s="347">
        <v>1.0</v>
      </c>
      <c r="X142" s="348">
        <v>2.0</v>
      </c>
      <c r="Y142" s="349">
        <v>3.0</v>
      </c>
      <c r="Z142" s="350">
        <v>4.0</v>
      </c>
      <c r="AA142" s="351">
        <v>5.0</v>
      </c>
      <c r="AB142" s="352">
        <v>6.0</v>
      </c>
      <c r="AC142" s="353">
        <v>7.0</v>
      </c>
      <c r="AD142" s="354">
        <v>8.0</v>
      </c>
      <c r="AE142" s="355">
        <v>9.0</v>
      </c>
      <c r="AF142" s="356">
        <v>10.0</v>
      </c>
      <c r="AG142" s="37"/>
    </row>
    <row r="143">
      <c r="A143" s="37"/>
      <c r="B143" s="308"/>
      <c r="C143" s="330">
        <v>6.0</v>
      </c>
      <c r="D143" s="331" t="s">
        <v>115</v>
      </c>
      <c r="E143" s="378">
        <v>18.0</v>
      </c>
      <c r="F143" s="379">
        <v>90.0</v>
      </c>
      <c r="G143" s="380"/>
      <c r="H143" s="381">
        <v>14.0</v>
      </c>
      <c r="I143" s="379">
        <v>90.0</v>
      </c>
      <c r="J143" s="339"/>
      <c r="K143" s="336"/>
      <c r="L143" s="338"/>
      <c r="M143" s="336"/>
      <c r="N143" s="337"/>
      <c r="O143" s="338"/>
      <c r="P143" s="339"/>
      <c r="Q143" s="336"/>
      <c r="R143" s="338"/>
      <c r="S143" s="336"/>
      <c r="T143" s="319">
        <f t="shared" si="9"/>
        <v>2880</v>
      </c>
      <c r="U143" s="422"/>
      <c r="V143" s="265"/>
      <c r="W143" s="293"/>
      <c r="X143" s="293"/>
      <c r="Y143" s="293"/>
      <c r="Z143" s="293"/>
      <c r="AA143" s="293"/>
      <c r="AB143" s="293"/>
      <c r="AC143" s="293"/>
      <c r="AD143" s="293"/>
      <c r="AE143" s="293"/>
      <c r="AF143" s="293"/>
      <c r="AG143" s="37"/>
    </row>
    <row r="144">
      <c r="A144" s="37"/>
      <c r="B144" s="308"/>
      <c r="C144" s="309">
        <v>7.0</v>
      </c>
      <c r="D144" s="382"/>
      <c r="E144" s="311"/>
      <c r="F144" s="342"/>
      <c r="G144" s="318"/>
      <c r="H144" s="343"/>
      <c r="I144" s="342"/>
      <c r="J144" s="344"/>
      <c r="K144" s="318"/>
      <c r="L144" s="346"/>
      <c r="M144" s="318"/>
      <c r="N144" s="345"/>
      <c r="O144" s="346"/>
      <c r="P144" s="344"/>
      <c r="Q144" s="318"/>
      <c r="R144" s="346"/>
      <c r="S144" s="318"/>
      <c r="T144" s="319">
        <f t="shared" si="9"/>
        <v>0</v>
      </c>
      <c r="U144" s="422"/>
      <c r="V144" s="265"/>
      <c r="W144" s="357" t="s">
        <v>231</v>
      </c>
      <c r="X144" s="268"/>
      <c r="Y144" s="268"/>
      <c r="Z144" s="268"/>
      <c r="AA144" s="268"/>
      <c r="AB144" s="268"/>
      <c r="AC144" s="268"/>
      <c r="AD144" s="268"/>
      <c r="AE144" s="268"/>
      <c r="AF144" s="57"/>
      <c r="AG144" s="37"/>
    </row>
    <row r="145">
      <c r="A145" s="37"/>
      <c r="B145" s="308"/>
      <c r="C145" s="330">
        <v>8.0</v>
      </c>
      <c r="D145" s="358"/>
      <c r="E145" s="336"/>
      <c r="F145" s="338"/>
      <c r="G145" s="336"/>
      <c r="H145" s="337"/>
      <c r="I145" s="338"/>
      <c r="J145" s="339"/>
      <c r="K145" s="336"/>
      <c r="L145" s="338"/>
      <c r="M145" s="336"/>
      <c r="N145" s="337"/>
      <c r="O145" s="338"/>
      <c r="P145" s="339"/>
      <c r="Q145" s="336"/>
      <c r="R145" s="338"/>
      <c r="S145" s="336"/>
      <c r="T145" s="319">
        <f t="shared" si="9"/>
        <v>0</v>
      </c>
      <c r="U145" s="422"/>
      <c r="V145" s="265"/>
      <c r="W145" s="370"/>
      <c r="X145" s="273"/>
      <c r="Y145" s="273"/>
      <c r="Z145" s="273"/>
      <c r="AA145" s="273"/>
      <c r="AB145" s="273"/>
      <c r="AC145" s="273"/>
      <c r="AD145" s="273"/>
      <c r="AE145" s="273"/>
      <c r="AF145" s="270"/>
      <c r="AG145" s="37"/>
    </row>
    <row r="146">
      <c r="A146" s="37"/>
      <c r="B146" s="308"/>
      <c r="C146" s="309">
        <v>9.0</v>
      </c>
      <c r="D146" s="360"/>
      <c r="E146" s="318"/>
      <c r="F146" s="346"/>
      <c r="G146" s="318"/>
      <c r="H146" s="345"/>
      <c r="I146" s="346"/>
      <c r="J146" s="344"/>
      <c r="K146" s="318"/>
      <c r="L146" s="346"/>
      <c r="M146" s="318"/>
      <c r="N146" s="345"/>
      <c r="O146" s="346"/>
      <c r="P146" s="344"/>
      <c r="Q146" s="318"/>
      <c r="R146" s="346"/>
      <c r="S146" s="318"/>
      <c r="T146" s="319">
        <f t="shared" si="9"/>
        <v>0</v>
      </c>
      <c r="U146" s="422"/>
      <c r="V146" s="265"/>
      <c r="W146" s="90"/>
      <c r="AF146" s="25"/>
      <c r="AG146" s="37"/>
    </row>
    <row r="147">
      <c r="A147" s="37"/>
      <c r="B147" s="308"/>
      <c r="C147" s="330">
        <v>10.0</v>
      </c>
      <c r="D147" s="358"/>
      <c r="E147" s="336"/>
      <c r="F147" s="338"/>
      <c r="G147" s="336"/>
      <c r="H147" s="337"/>
      <c r="I147" s="338"/>
      <c r="J147" s="339"/>
      <c r="K147" s="336"/>
      <c r="L147" s="338"/>
      <c r="M147" s="336"/>
      <c r="N147" s="337"/>
      <c r="O147" s="338"/>
      <c r="P147" s="339"/>
      <c r="Q147" s="336"/>
      <c r="R147" s="338"/>
      <c r="S147" s="336"/>
      <c r="T147" s="319">
        <f t="shared" si="9"/>
        <v>0</v>
      </c>
      <c r="U147" s="422"/>
      <c r="V147" s="265"/>
      <c r="W147" s="90"/>
      <c r="AF147" s="25"/>
      <c r="AG147" s="37"/>
    </row>
    <row r="148">
      <c r="A148" s="37"/>
      <c r="B148" s="361"/>
      <c r="C148" s="362">
        <v>11.0</v>
      </c>
      <c r="D148" s="363"/>
      <c r="E148" s="364"/>
      <c r="F148" s="365"/>
      <c r="G148" s="364"/>
      <c r="H148" s="366"/>
      <c r="I148" s="365"/>
      <c r="J148" s="367"/>
      <c r="K148" s="364"/>
      <c r="L148" s="365"/>
      <c r="M148" s="364"/>
      <c r="N148" s="366"/>
      <c r="O148" s="365"/>
      <c r="P148" s="367"/>
      <c r="Q148" s="364"/>
      <c r="R148" s="365"/>
      <c r="S148" s="364"/>
      <c r="T148" s="319">
        <f t="shared" si="9"/>
        <v>0</v>
      </c>
      <c r="U148" s="422"/>
      <c r="V148" s="265"/>
      <c r="W148" s="27"/>
      <c r="X148" s="22"/>
      <c r="Y148" s="22"/>
      <c r="Z148" s="22"/>
      <c r="AA148" s="22"/>
      <c r="AB148" s="22"/>
      <c r="AC148" s="22"/>
      <c r="AD148" s="22"/>
      <c r="AE148" s="22"/>
      <c r="AF148" s="28"/>
      <c r="AG148" s="37"/>
    </row>
    <row r="149">
      <c r="A149" s="37"/>
      <c r="B149" s="368"/>
      <c r="C149" s="265"/>
      <c r="D149" s="265"/>
      <c r="E149" s="265"/>
      <c r="F149" s="265"/>
      <c r="G149" s="265"/>
      <c r="H149" s="265"/>
      <c r="I149" s="265"/>
      <c r="J149" s="265"/>
      <c r="K149" s="292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93"/>
      <c r="X149" s="293"/>
      <c r="Y149" s="293"/>
      <c r="Z149" s="293"/>
      <c r="AA149" s="293"/>
      <c r="AB149" s="293"/>
      <c r="AC149" s="293"/>
      <c r="AD149" s="371"/>
      <c r="AE149" s="293"/>
      <c r="AF149" s="293"/>
      <c r="AG149" s="37"/>
    </row>
  </sheetData>
  <mergeCells count="198">
    <mergeCell ref="I6:J6"/>
    <mergeCell ref="K6:L6"/>
    <mergeCell ref="O6:P6"/>
    <mergeCell ref="Q6:R6"/>
    <mergeCell ref="G7:H7"/>
    <mergeCell ref="I7:J7"/>
    <mergeCell ref="G8:H8"/>
    <mergeCell ref="I8:J8"/>
    <mergeCell ref="G9:H9"/>
    <mergeCell ref="I9:J9"/>
    <mergeCell ref="G10:H10"/>
    <mergeCell ref="I10:J10"/>
    <mergeCell ref="A1:B7"/>
    <mergeCell ref="C3:D4"/>
    <mergeCell ref="E3:F4"/>
    <mergeCell ref="I3:L4"/>
    <mergeCell ref="M3:N4"/>
    <mergeCell ref="G6:H6"/>
    <mergeCell ref="M6:N6"/>
    <mergeCell ref="M8:N8"/>
    <mergeCell ref="O8:P8"/>
    <mergeCell ref="K8:L8"/>
    <mergeCell ref="K9:L9"/>
    <mergeCell ref="M9:N9"/>
    <mergeCell ref="O9:P9"/>
    <mergeCell ref="K7:L7"/>
    <mergeCell ref="K10:L10"/>
    <mergeCell ref="M11:N11"/>
    <mergeCell ref="O11:P11"/>
    <mergeCell ref="Q11:R11"/>
    <mergeCell ref="E15:M15"/>
    <mergeCell ref="N15:P15"/>
    <mergeCell ref="Q15:S15"/>
    <mergeCell ref="E16:G16"/>
    <mergeCell ref="H16:J16"/>
    <mergeCell ref="K16:M16"/>
    <mergeCell ref="N16:P16"/>
    <mergeCell ref="Q16:S16"/>
    <mergeCell ref="C10:D10"/>
    <mergeCell ref="E10:F10"/>
    <mergeCell ref="C11:D11"/>
    <mergeCell ref="E11:F11"/>
    <mergeCell ref="G11:H11"/>
    <mergeCell ref="I11:J11"/>
    <mergeCell ref="K11:L11"/>
    <mergeCell ref="E6:F6"/>
    <mergeCell ref="C7:D7"/>
    <mergeCell ref="E7:F7"/>
    <mergeCell ref="C8:D8"/>
    <mergeCell ref="E8:F8"/>
    <mergeCell ref="C9:D9"/>
    <mergeCell ref="E9:F9"/>
    <mergeCell ref="N31:P31"/>
    <mergeCell ref="Q31:S31"/>
    <mergeCell ref="C15:D15"/>
    <mergeCell ref="B17:B28"/>
    <mergeCell ref="C30:D30"/>
    <mergeCell ref="E30:M30"/>
    <mergeCell ref="N30:P30"/>
    <mergeCell ref="Q30:S30"/>
    <mergeCell ref="E31:G31"/>
    <mergeCell ref="H31:J31"/>
    <mergeCell ref="K31:M31"/>
    <mergeCell ref="B32:B43"/>
    <mergeCell ref="C45:D45"/>
    <mergeCell ref="E45:M45"/>
    <mergeCell ref="N45:P45"/>
    <mergeCell ref="Q45:S45"/>
    <mergeCell ref="W64:AB66"/>
    <mergeCell ref="AC64:AF66"/>
    <mergeCell ref="W69:AF69"/>
    <mergeCell ref="W70:AF73"/>
    <mergeCell ref="W75:AB77"/>
    <mergeCell ref="AC75:AF77"/>
    <mergeCell ref="AC79:AF81"/>
    <mergeCell ref="W79:AB81"/>
    <mergeCell ref="W84:AF84"/>
    <mergeCell ref="W85:AF88"/>
    <mergeCell ref="W90:AB92"/>
    <mergeCell ref="AC90:AF92"/>
    <mergeCell ref="W94:AB96"/>
    <mergeCell ref="AC94:AF96"/>
    <mergeCell ref="B107:B118"/>
    <mergeCell ref="C120:D120"/>
    <mergeCell ref="E120:M120"/>
    <mergeCell ref="N120:P120"/>
    <mergeCell ref="Q120:S120"/>
    <mergeCell ref="E121:G121"/>
    <mergeCell ref="H121:J121"/>
    <mergeCell ref="E136:G136"/>
    <mergeCell ref="H136:J136"/>
    <mergeCell ref="K136:M136"/>
    <mergeCell ref="N136:P136"/>
    <mergeCell ref="Q136:S136"/>
    <mergeCell ref="B137:B148"/>
    <mergeCell ref="K121:M121"/>
    <mergeCell ref="N121:P121"/>
    <mergeCell ref="B122:B133"/>
    <mergeCell ref="C135:D135"/>
    <mergeCell ref="E135:M135"/>
    <mergeCell ref="N135:P135"/>
    <mergeCell ref="Q135:S135"/>
    <mergeCell ref="E46:G46"/>
    <mergeCell ref="H46:J46"/>
    <mergeCell ref="K46:M46"/>
    <mergeCell ref="N46:P46"/>
    <mergeCell ref="Q46:S46"/>
    <mergeCell ref="B47:B58"/>
    <mergeCell ref="C60:D60"/>
    <mergeCell ref="Q60:S60"/>
    <mergeCell ref="E75:M75"/>
    <mergeCell ref="N75:P75"/>
    <mergeCell ref="Q75:S75"/>
    <mergeCell ref="E60:M60"/>
    <mergeCell ref="N60:P60"/>
    <mergeCell ref="E61:G61"/>
    <mergeCell ref="H61:J61"/>
    <mergeCell ref="K61:M61"/>
    <mergeCell ref="B62:B73"/>
    <mergeCell ref="C75:D75"/>
    <mergeCell ref="E76:G76"/>
    <mergeCell ref="H76:J76"/>
    <mergeCell ref="K76:M76"/>
    <mergeCell ref="B77:B88"/>
    <mergeCell ref="E90:M90"/>
    <mergeCell ref="N90:P90"/>
    <mergeCell ref="Q90:S90"/>
    <mergeCell ref="N105:P105"/>
    <mergeCell ref="Q105:S105"/>
    <mergeCell ref="E106:G106"/>
    <mergeCell ref="H106:J106"/>
    <mergeCell ref="K106:M106"/>
    <mergeCell ref="N106:P106"/>
    <mergeCell ref="Q106:S106"/>
    <mergeCell ref="C90:D90"/>
    <mergeCell ref="E91:G91"/>
    <mergeCell ref="H91:J91"/>
    <mergeCell ref="K91:M91"/>
    <mergeCell ref="B92:B103"/>
    <mergeCell ref="C105:D105"/>
    <mergeCell ref="E105:M105"/>
    <mergeCell ref="W130:AF133"/>
    <mergeCell ref="W135:AB137"/>
    <mergeCell ref="AC135:AF137"/>
    <mergeCell ref="W139:AB141"/>
    <mergeCell ref="AC139:AF141"/>
    <mergeCell ref="W144:AF144"/>
    <mergeCell ref="W145:AF148"/>
    <mergeCell ref="W115:AF118"/>
    <mergeCell ref="W120:AB122"/>
    <mergeCell ref="AC120:AF122"/>
    <mergeCell ref="Q121:S121"/>
    <mergeCell ref="W124:AB126"/>
    <mergeCell ref="AC124:AF126"/>
    <mergeCell ref="W129:AF129"/>
    <mergeCell ref="M10:N10"/>
    <mergeCell ref="O10:P10"/>
    <mergeCell ref="M7:N7"/>
    <mergeCell ref="O7:P7"/>
    <mergeCell ref="Q7:R7"/>
    <mergeCell ref="AA7:AB10"/>
    <mergeCell ref="Q8:R8"/>
    <mergeCell ref="Q9:R9"/>
    <mergeCell ref="Q10:R10"/>
    <mergeCell ref="W7:Z10"/>
    <mergeCell ref="W15:AB17"/>
    <mergeCell ref="AC15:AF17"/>
    <mergeCell ref="W19:AB21"/>
    <mergeCell ref="AC19:AF21"/>
    <mergeCell ref="W24:AF24"/>
    <mergeCell ref="W25:AF28"/>
    <mergeCell ref="W30:AB32"/>
    <mergeCell ref="AC30:AF32"/>
    <mergeCell ref="W34:AB36"/>
    <mergeCell ref="AC34:AF36"/>
    <mergeCell ref="W39:AF39"/>
    <mergeCell ref="W40:AF43"/>
    <mergeCell ref="AC45:AF47"/>
    <mergeCell ref="N61:P61"/>
    <mergeCell ref="Q61:S61"/>
    <mergeCell ref="N76:P76"/>
    <mergeCell ref="Q76:S76"/>
    <mergeCell ref="N91:P91"/>
    <mergeCell ref="Q91:S91"/>
    <mergeCell ref="W45:AB47"/>
    <mergeCell ref="W49:AB51"/>
    <mergeCell ref="AC49:AF51"/>
    <mergeCell ref="W54:AF54"/>
    <mergeCell ref="W55:AF58"/>
    <mergeCell ref="W60:AB62"/>
    <mergeCell ref="AC60:AF62"/>
    <mergeCell ref="W99:AF99"/>
    <mergeCell ref="W100:AF103"/>
    <mergeCell ref="W105:AB107"/>
    <mergeCell ref="AC105:AF107"/>
    <mergeCell ref="W109:AB111"/>
    <mergeCell ref="AC109:AF111"/>
    <mergeCell ref="W114:AF114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 AC15 AC19 AC30 AC34 AC45 AC49 AC60 AC64 AC75 AC79 AC90 AC94 AC105 AC109 AC120 AC124 AC135 AC139">
      <formula1>"1,2,3,4,5,6,7,8,9,10"</formula1>
    </dataValidation>
    <dataValidation type="list" allowBlank="1" showErrorMessage="1" sqref="AA7">
      <formula1>"SI,NO"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5 Q30 Q45 Q60 Q75 Q90 Q105 Q120 Q135">
      <formula1>"Muy malo,Malo,Regular,Bueno,Muy bueno"</formula1>
    </dataValidation>
  </dataValidations>
  <hyperlinks>
    <hyperlink r:id="rId1" ref="D18"/>
    <hyperlink r:id="rId2" ref="D19"/>
    <hyperlink r:id="rId3" ref="D20"/>
    <hyperlink r:id="rId4" ref="D21"/>
    <hyperlink r:id="rId5" ref="D22"/>
    <hyperlink r:id="rId6" ref="D23"/>
    <hyperlink r:id="rId7" ref="D78"/>
    <hyperlink r:id="rId8" ref="D79"/>
    <hyperlink r:id="rId9" ref="D80"/>
    <hyperlink r:id="rId10" ref="D81"/>
    <hyperlink r:id="rId11" ref="D82"/>
    <hyperlink r:id="rId12" ref="D8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5"/>
      <c r="AG1" s="265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  <c r="W2" s="266"/>
      <c r="X2" s="266"/>
      <c r="Y2" s="266"/>
      <c r="Z2" s="266"/>
      <c r="AA2" s="266"/>
      <c r="AB2" s="265"/>
      <c r="AC2" s="265"/>
      <c r="AD2" s="265"/>
      <c r="AE2" s="265"/>
      <c r="AF2" s="265"/>
      <c r="AG2" s="265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  <c r="W3" s="266"/>
      <c r="X3" s="266"/>
      <c r="Y3" s="266"/>
      <c r="Z3" s="266"/>
      <c r="AA3" s="266"/>
      <c r="AB3" s="265"/>
      <c r="AC3" s="265"/>
      <c r="AD3" s="265"/>
      <c r="AE3" s="265"/>
      <c r="AF3" s="265"/>
      <c r="AG3" s="265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  <c r="W4" s="266"/>
      <c r="X4" s="266"/>
      <c r="Y4" s="266"/>
      <c r="Z4" s="266"/>
      <c r="AA4" s="266"/>
      <c r="AB4" s="265"/>
      <c r="AC4" s="265"/>
      <c r="AD4" s="265"/>
      <c r="AE4" s="265"/>
      <c r="AF4" s="265"/>
      <c r="AG4" s="37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  <c r="W5" s="266"/>
      <c r="X5" s="266"/>
      <c r="Y5" s="266"/>
      <c r="Z5" s="266"/>
      <c r="AA5" s="266"/>
      <c r="AB5" s="265"/>
      <c r="AC5" s="264"/>
      <c r="AD5" s="264"/>
      <c r="AE5" s="264"/>
      <c r="AF5" s="264"/>
      <c r="AG5" s="37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  <c r="W6" s="266"/>
      <c r="X6" s="266"/>
      <c r="Y6" s="266"/>
      <c r="Z6" s="266"/>
      <c r="AA6" s="266"/>
      <c r="AB6" s="265"/>
      <c r="AC6" s="264"/>
      <c r="AD6" s="264"/>
      <c r="AE6" s="264"/>
      <c r="AF6" s="264"/>
      <c r="AG6" s="37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  <c r="W7" s="285" t="s">
        <v>203</v>
      </c>
      <c r="X7" s="268"/>
      <c r="Y7" s="268"/>
      <c r="Z7" s="57"/>
      <c r="AA7" s="286" t="s">
        <v>264</v>
      </c>
      <c r="AB7" s="57"/>
      <c r="AC7" s="264"/>
      <c r="AD7" s="264"/>
      <c r="AE7" s="264"/>
      <c r="AF7" s="264"/>
      <c r="AG7" s="37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  <c r="W8" s="64"/>
      <c r="Z8" s="63"/>
      <c r="AA8" s="64"/>
      <c r="AB8" s="63"/>
      <c r="AC8" s="264"/>
      <c r="AD8" s="264"/>
      <c r="AE8" s="264"/>
      <c r="AF8" s="264"/>
      <c r="AG8" s="265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  <c r="W9" s="64"/>
      <c r="Z9" s="63"/>
      <c r="AA9" s="64"/>
      <c r="AB9" s="63"/>
      <c r="AC9" s="290"/>
      <c r="AD9" s="290"/>
      <c r="AE9" s="290"/>
      <c r="AF9" s="290"/>
      <c r="AG9" s="265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  <c r="W10" s="275"/>
      <c r="X10" s="276"/>
      <c r="Y10" s="276"/>
      <c r="Z10" s="291"/>
      <c r="AA10" s="275"/>
      <c r="AB10" s="291"/>
      <c r="AC10" s="265"/>
      <c r="AD10" s="265"/>
      <c r="AE10" s="265"/>
      <c r="AF10" s="265"/>
      <c r="AG10" s="265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  <c r="W11" s="37"/>
      <c r="X11" s="37"/>
      <c r="Y11" s="37"/>
      <c r="Z11" s="37"/>
      <c r="AA11" s="37"/>
      <c r="AB11" s="37"/>
      <c r="AC11" s="265"/>
      <c r="AD11" s="265"/>
      <c r="AE11" s="265"/>
      <c r="AF11" s="265"/>
      <c r="AG11" s="265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  <c r="W12" s="37"/>
      <c r="X12" s="37"/>
      <c r="Y12" s="37"/>
      <c r="Z12" s="37"/>
      <c r="AA12" s="37"/>
      <c r="AB12" s="37"/>
      <c r="AC12" s="265"/>
      <c r="AD12" s="265"/>
      <c r="AE12" s="265"/>
      <c r="AF12" s="265"/>
      <c r="AG12" s="265"/>
    </row>
    <row r="13">
      <c r="A13" s="264"/>
      <c r="B13" s="265"/>
      <c r="C13" s="265"/>
      <c r="D13" s="292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92"/>
      <c r="T13" s="265"/>
      <c r="U13" s="265"/>
      <c r="V13" s="265"/>
      <c r="W13" s="265"/>
      <c r="X13" s="292"/>
      <c r="Y13" s="265"/>
      <c r="Z13" s="265"/>
      <c r="AA13" s="265"/>
      <c r="AB13" s="265"/>
      <c r="AC13" s="265"/>
      <c r="AD13" s="265"/>
      <c r="AE13" s="265"/>
      <c r="AF13" s="265"/>
      <c r="AG13" s="265"/>
    </row>
    <row r="14">
      <c r="A14" s="264"/>
      <c r="B14" s="265"/>
      <c r="C14" s="265"/>
      <c r="D14" s="265"/>
      <c r="E14" s="265"/>
      <c r="F14" s="265"/>
      <c r="G14" s="265"/>
      <c r="H14" s="265"/>
      <c r="I14" s="292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93"/>
    </row>
    <row r="15">
      <c r="A15" s="264"/>
      <c r="B15" s="265"/>
      <c r="C15" s="294" t="s">
        <v>209</v>
      </c>
      <c r="D15" s="295"/>
      <c r="E15" s="296" t="s">
        <v>248</v>
      </c>
      <c r="F15" s="297"/>
      <c r="G15" s="297"/>
      <c r="H15" s="297"/>
      <c r="I15" s="297"/>
      <c r="J15" s="297"/>
      <c r="K15" s="297"/>
      <c r="L15" s="297"/>
      <c r="M15" s="282"/>
      <c r="N15" s="298" t="s">
        <v>211</v>
      </c>
      <c r="O15" s="268"/>
      <c r="P15" s="57"/>
      <c r="Q15" s="286"/>
      <c r="R15" s="268"/>
      <c r="S15" s="57"/>
      <c r="T15" s="292"/>
      <c r="U15" s="265"/>
      <c r="V15" s="265"/>
      <c r="W15" s="299" t="s">
        <v>213</v>
      </c>
      <c r="X15" s="268"/>
      <c r="Y15" s="268"/>
      <c r="Z15" s="268"/>
      <c r="AA15" s="268"/>
      <c r="AB15" s="57"/>
      <c r="AC15" s="300"/>
      <c r="AD15" s="273"/>
      <c r="AE15" s="273"/>
      <c r="AF15" s="270"/>
      <c r="AG15" s="293"/>
    </row>
    <row r="16">
      <c r="A16" s="264"/>
      <c r="B16" s="265"/>
      <c r="C16" s="301" t="s">
        <v>214</v>
      </c>
      <c r="D16" s="302">
        <v>45901.0</v>
      </c>
      <c r="E16" s="303" t="s">
        <v>215</v>
      </c>
      <c r="F16" s="22"/>
      <c r="G16" s="28"/>
      <c r="H16" s="304" t="s">
        <v>216</v>
      </c>
      <c r="I16" s="297"/>
      <c r="J16" s="282"/>
      <c r="K16" s="304" t="s">
        <v>217</v>
      </c>
      <c r="L16" s="297"/>
      <c r="M16" s="282"/>
      <c r="N16" s="304" t="s">
        <v>218</v>
      </c>
      <c r="O16" s="297"/>
      <c r="P16" s="282"/>
      <c r="Q16" s="304" t="s">
        <v>219</v>
      </c>
      <c r="R16" s="297"/>
      <c r="S16" s="282"/>
      <c r="T16" s="265"/>
      <c r="U16" s="265"/>
      <c r="V16" s="265"/>
      <c r="W16" s="64"/>
      <c r="AB16" s="63"/>
      <c r="AF16" s="25"/>
      <c r="AG16" s="293"/>
    </row>
    <row r="17">
      <c r="A17" s="264"/>
      <c r="B17" s="305" t="s">
        <v>220</v>
      </c>
      <c r="C17" s="306" t="s">
        <v>221</v>
      </c>
      <c r="D17" s="306" t="s">
        <v>222</v>
      </c>
      <c r="E17" s="301" t="s">
        <v>223</v>
      </c>
      <c r="F17" s="301" t="s">
        <v>224</v>
      </c>
      <c r="G17" s="301" t="s">
        <v>66</v>
      </c>
      <c r="H17" s="301" t="s">
        <v>223</v>
      </c>
      <c r="I17" s="301" t="s">
        <v>224</v>
      </c>
      <c r="J17" s="301" t="s">
        <v>66</v>
      </c>
      <c r="K17" s="301" t="s">
        <v>223</v>
      </c>
      <c r="L17" s="301" t="s">
        <v>224</v>
      </c>
      <c r="M17" s="301" t="s">
        <v>66</v>
      </c>
      <c r="N17" s="301" t="s">
        <v>223</v>
      </c>
      <c r="O17" s="301" t="s">
        <v>224</v>
      </c>
      <c r="P17" s="301" t="s">
        <v>66</v>
      </c>
      <c r="Q17" s="301" t="s">
        <v>223</v>
      </c>
      <c r="R17" s="301" t="s">
        <v>224</v>
      </c>
      <c r="S17" s="301" t="s">
        <v>66</v>
      </c>
      <c r="T17" s="307" t="s">
        <v>225</v>
      </c>
      <c r="U17" s="421" t="s">
        <v>263</v>
      </c>
      <c r="V17" s="265"/>
      <c r="W17" s="275"/>
      <c r="X17" s="276"/>
      <c r="Y17" s="276"/>
      <c r="Z17" s="276"/>
      <c r="AA17" s="276"/>
      <c r="AB17" s="291"/>
      <c r="AC17" s="22"/>
      <c r="AD17" s="22"/>
      <c r="AE17" s="22"/>
      <c r="AF17" s="28"/>
      <c r="AG17" s="293"/>
    </row>
    <row r="18">
      <c r="A18" s="264"/>
      <c r="B18" s="308"/>
      <c r="C18" s="309">
        <v>1.0</v>
      </c>
      <c r="D18" s="373" t="s">
        <v>130</v>
      </c>
      <c r="E18" s="259">
        <v>12.0</v>
      </c>
      <c r="F18" s="375">
        <v>12.0</v>
      </c>
      <c r="G18" s="384"/>
      <c r="H18" s="376">
        <v>11.0</v>
      </c>
      <c r="I18" s="375">
        <v>12.0</v>
      </c>
      <c r="J18" s="317"/>
      <c r="K18" s="311"/>
      <c r="L18" s="312"/>
      <c r="M18" s="318"/>
      <c r="N18" s="315"/>
      <c r="O18" s="316"/>
      <c r="P18" s="317"/>
      <c r="Q18" s="318"/>
      <c r="R18" s="316"/>
      <c r="S18" s="211"/>
      <c r="T18" s="319">
        <f t="shared" ref="T18:T28" si="1">(E18*F18)+(H18*I18)+(K18*L18)+(N18*O18)+(Q18*R18)</f>
        <v>276</v>
      </c>
      <c r="U18" s="422"/>
      <c r="V18" s="265"/>
      <c r="W18" s="320">
        <v>1.0</v>
      </c>
      <c r="X18" s="321">
        <v>2.0</v>
      </c>
      <c r="Y18" s="322">
        <v>3.0</v>
      </c>
      <c r="Z18" s="323">
        <v>4.0</v>
      </c>
      <c r="AA18" s="324">
        <v>5.0</v>
      </c>
      <c r="AB18" s="325">
        <v>6.0</v>
      </c>
      <c r="AC18" s="326">
        <v>7.0</v>
      </c>
      <c r="AD18" s="327">
        <v>8.0</v>
      </c>
      <c r="AE18" s="328">
        <v>9.0</v>
      </c>
      <c r="AF18" s="329">
        <v>10.0</v>
      </c>
      <c r="AG18" s="293"/>
    </row>
    <row r="19">
      <c r="A19" s="264"/>
      <c r="B19" s="308"/>
      <c r="C19" s="330">
        <v>2.0</v>
      </c>
      <c r="D19" s="377" t="s">
        <v>183</v>
      </c>
      <c r="E19" s="423">
        <v>16.0</v>
      </c>
      <c r="F19" s="379">
        <v>15.0</v>
      </c>
      <c r="G19" s="380"/>
      <c r="H19" s="381">
        <v>17.0</v>
      </c>
      <c r="I19" s="379">
        <v>15.0</v>
      </c>
      <c r="J19" s="339"/>
      <c r="K19" s="332"/>
      <c r="L19" s="333"/>
      <c r="M19" s="336"/>
      <c r="N19" s="337"/>
      <c r="O19" s="338"/>
      <c r="P19" s="339"/>
      <c r="Q19" s="336"/>
      <c r="R19" s="338"/>
      <c r="S19" s="429"/>
      <c r="T19" s="319">
        <f t="shared" si="1"/>
        <v>495</v>
      </c>
      <c r="U19" s="422"/>
      <c r="V19" s="265"/>
      <c r="W19" s="340" t="s">
        <v>227</v>
      </c>
      <c r="X19" s="268"/>
      <c r="Y19" s="268"/>
      <c r="Z19" s="268"/>
      <c r="AA19" s="268"/>
      <c r="AB19" s="57"/>
      <c r="AC19" s="300"/>
      <c r="AD19" s="273"/>
      <c r="AE19" s="273"/>
      <c r="AF19" s="270"/>
      <c r="AG19" s="293"/>
    </row>
    <row r="20">
      <c r="A20" s="264"/>
      <c r="B20" s="308"/>
      <c r="C20" s="309">
        <v>3.0</v>
      </c>
      <c r="D20" s="382" t="s">
        <v>131</v>
      </c>
      <c r="E20" s="259">
        <v>12.0</v>
      </c>
      <c r="F20" s="383">
        <v>50.0</v>
      </c>
      <c r="G20" s="384"/>
      <c r="H20" s="385">
        <v>17.0</v>
      </c>
      <c r="I20" s="383">
        <v>50.0</v>
      </c>
      <c r="J20" s="344"/>
      <c r="K20" s="311"/>
      <c r="L20" s="342"/>
      <c r="M20" s="318"/>
      <c r="N20" s="345"/>
      <c r="O20" s="346"/>
      <c r="P20" s="344"/>
      <c r="Q20" s="318"/>
      <c r="R20" s="346"/>
      <c r="S20" s="223"/>
      <c r="T20" s="319">
        <f t="shared" si="1"/>
        <v>1450</v>
      </c>
      <c r="U20" s="422"/>
      <c r="V20" s="265"/>
      <c r="W20" s="64"/>
      <c r="AB20" s="63"/>
      <c r="AF20" s="25"/>
      <c r="AG20" s="293"/>
    </row>
    <row r="21">
      <c r="A21" s="264"/>
      <c r="B21" s="308"/>
      <c r="C21" s="330">
        <v>4.0</v>
      </c>
      <c r="D21" s="377" t="s">
        <v>106</v>
      </c>
      <c r="E21" s="423">
        <v>8.0</v>
      </c>
      <c r="F21" s="379">
        <v>80.0</v>
      </c>
      <c r="G21" s="380"/>
      <c r="H21" s="381">
        <v>7.0</v>
      </c>
      <c r="I21" s="379">
        <v>60.0</v>
      </c>
      <c r="J21" s="339"/>
      <c r="K21" s="332"/>
      <c r="L21" s="333"/>
      <c r="M21" s="336"/>
      <c r="N21" s="334"/>
      <c r="O21" s="333"/>
      <c r="P21" s="339"/>
      <c r="Q21" s="336"/>
      <c r="R21" s="338"/>
      <c r="S21" s="430"/>
      <c r="T21" s="319">
        <f t="shared" si="1"/>
        <v>1060</v>
      </c>
      <c r="U21" s="422"/>
      <c r="V21" s="265"/>
      <c r="W21" s="275"/>
      <c r="X21" s="276"/>
      <c r="Y21" s="276"/>
      <c r="Z21" s="276"/>
      <c r="AA21" s="276"/>
      <c r="AB21" s="291"/>
      <c r="AC21" s="22"/>
      <c r="AD21" s="22"/>
      <c r="AE21" s="22"/>
      <c r="AF21" s="28"/>
      <c r="AG21" s="293"/>
    </row>
    <row r="22">
      <c r="A22" s="264"/>
      <c r="B22" s="308"/>
      <c r="C22" s="309">
        <v>5.0</v>
      </c>
      <c r="D22" s="382" t="s">
        <v>185</v>
      </c>
      <c r="E22" s="244">
        <v>12.0</v>
      </c>
      <c r="F22" s="383">
        <v>35.0</v>
      </c>
      <c r="G22" s="384"/>
      <c r="H22" s="385">
        <v>10.0</v>
      </c>
      <c r="I22" s="383">
        <v>35.0</v>
      </c>
      <c r="J22" s="344"/>
      <c r="K22" s="311"/>
      <c r="L22" s="342"/>
      <c r="M22" s="318"/>
      <c r="N22" s="345"/>
      <c r="O22" s="346"/>
      <c r="P22" s="344"/>
      <c r="Q22" s="318"/>
      <c r="R22" s="346"/>
      <c r="S22" s="249"/>
      <c r="T22" s="319">
        <f t="shared" si="1"/>
        <v>770</v>
      </c>
      <c r="U22" s="422"/>
      <c r="V22" s="265"/>
      <c r="W22" s="347">
        <v>1.0</v>
      </c>
      <c r="X22" s="348">
        <v>2.0</v>
      </c>
      <c r="Y22" s="349">
        <v>3.0</v>
      </c>
      <c r="Z22" s="350">
        <v>4.0</v>
      </c>
      <c r="AA22" s="351">
        <v>5.0</v>
      </c>
      <c r="AB22" s="352">
        <v>6.0</v>
      </c>
      <c r="AC22" s="353">
        <v>7.0</v>
      </c>
      <c r="AD22" s="354">
        <v>8.0</v>
      </c>
      <c r="AE22" s="355">
        <v>9.0</v>
      </c>
      <c r="AF22" s="356">
        <v>10.0</v>
      </c>
      <c r="AG22" s="293"/>
    </row>
    <row r="23">
      <c r="A23" s="264"/>
      <c r="B23" s="308"/>
      <c r="C23" s="330">
        <v>6.0</v>
      </c>
      <c r="D23" s="331" t="s">
        <v>186</v>
      </c>
      <c r="E23" s="423">
        <v>12.0</v>
      </c>
      <c r="F23" s="379">
        <v>30.0</v>
      </c>
      <c r="G23" s="380"/>
      <c r="H23" s="381">
        <v>12.0</v>
      </c>
      <c r="I23" s="379">
        <v>30.0</v>
      </c>
      <c r="J23" s="339"/>
      <c r="K23" s="336"/>
      <c r="L23" s="333"/>
      <c r="M23" s="336"/>
      <c r="N23" s="337"/>
      <c r="O23" s="338"/>
      <c r="P23" s="339"/>
      <c r="Q23" s="336"/>
      <c r="R23" s="338"/>
      <c r="S23" s="431"/>
      <c r="T23" s="319">
        <f t="shared" si="1"/>
        <v>720</v>
      </c>
      <c r="U23" s="422"/>
      <c r="V23" s="265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</row>
    <row r="24" ht="31.5" customHeight="1">
      <c r="A24" s="264"/>
      <c r="B24" s="308"/>
      <c r="C24" s="309">
        <v>7.0</v>
      </c>
      <c r="D24" s="382" t="s">
        <v>187</v>
      </c>
      <c r="E24" s="259">
        <v>12.0</v>
      </c>
      <c r="F24" s="342">
        <v>10.0</v>
      </c>
      <c r="G24" s="318"/>
      <c r="H24" s="343">
        <v>15.0</v>
      </c>
      <c r="I24" s="342">
        <v>10.0</v>
      </c>
      <c r="J24" s="344"/>
      <c r="K24" s="318"/>
      <c r="L24" s="346"/>
      <c r="M24" s="318"/>
      <c r="N24" s="345"/>
      <c r="O24" s="346"/>
      <c r="P24" s="344"/>
      <c r="Q24" s="318"/>
      <c r="R24" s="346"/>
      <c r="S24" s="261"/>
      <c r="T24" s="319">
        <f t="shared" si="1"/>
        <v>270</v>
      </c>
      <c r="U24" s="422"/>
      <c r="V24" s="265"/>
      <c r="W24" s="357" t="s">
        <v>231</v>
      </c>
      <c r="X24" s="268"/>
      <c r="Y24" s="268"/>
      <c r="Z24" s="268"/>
      <c r="AA24" s="268"/>
      <c r="AB24" s="268"/>
      <c r="AC24" s="268"/>
      <c r="AD24" s="268"/>
      <c r="AE24" s="268"/>
      <c r="AF24" s="57"/>
      <c r="AG24" s="293"/>
    </row>
    <row r="25">
      <c r="A25" s="264"/>
      <c r="B25" s="308"/>
      <c r="C25" s="330">
        <v>8.0</v>
      </c>
      <c r="D25" s="331"/>
      <c r="E25" s="336"/>
      <c r="F25" s="338"/>
      <c r="G25" s="336"/>
      <c r="H25" s="337"/>
      <c r="I25" s="338"/>
      <c r="J25" s="339"/>
      <c r="K25" s="336"/>
      <c r="L25" s="338"/>
      <c r="M25" s="336"/>
      <c r="N25" s="337"/>
      <c r="O25" s="338"/>
      <c r="P25" s="339"/>
      <c r="Q25" s="336"/>
      <c r="R25" s="338"/>
      <c r="S25" s="336"/>
      <c r="T25" s="319">
        <f t="shared" si="1"/>
        <v>0</v>
      </c>
      <c r="U25" s="422"/>
      <c r="V25" s="265"/>
      <c r="W25" s="359" t="s">
        <v>232</v>
      </c>
      <c r="X25" s="273"/>
      <c r="Y25" s="273"/>
      <c r="Z25" s="273"/>
      <c r="AA25" s="273"/>
      <c r="AB25" s="273"/>
      <c r="AC25" s="273"/>
      <c r="AD25" s="273"/>
      <c r="AE25" s="273"/>
      <c r="AF25" s="270"/>
      <c r="AG25" s="293"/>
    </row>
    <row r="26">
      <c r="A26" s="264"/>
      <c r="B26" s="308"/>
      <c r="C26" s="309">
        <v>9.0</v>
      </c>
      <c r="D26" s="360"/>
      <c r="E26" s="318"/>
      <c r="F26" s="346"/>
      <c r="G26" s="318"/>
      <c r="H26" s="345"/>
      <c r="I26" s="346"/>
      <c r="J26" s="344"/>
      <c r="K26" s="318"/>
      <c r="L26" s="346"/>
      <c r="M26" s="318"/>
      <c r="N26" s="345"/>
      <c r="O26" s="346"/>
      <c r="P26" s="344"/>
      <c r="Q26" s="318"/>
      <c r="R26" s="346"/>
      <c r="S26" s="318"/>
      <c r="T26" s="319">
        <f t="shared" si="1"/>
        <v>0</v>
      </c>
      <c r="U26" s="422"/>
      <c r="V26" s="265"/>
      <c r="W26" s="90"/>
      <c r="AF26" s="25"/>
      <c r="AG26" s="293"/>
    </row>
    <row r="27">
      <c r="A27" s="264"/>
      <c r="B27" s="308"/>
      <c r="C27" s="330">
        <v>10.0</v>
      </c>
      <c r="D27" s="358"/>
      <c r="E27" s="336"/>
      <c r="F27" s="338"/>
      <c r="G27" s="336"/>
      <c r="H27" s="337"/>
      <c r="I27" s="338"/>
      <c r="J27" s="339"/>
      <c r="K27" s="336"/>
      <c r="L27" s="338"/>
      <c r="M27" s="336"/>
      <c r="N27" s="337"/>
      <c r="O27" s="338"/>
      <c r="P27" s="339"/>
      <c r="Q27" s="336"/>
      <c r="R27" s="338"/>
      <c r="S27" s="336"/>
      <c r="T27" s="319">
        <f t="shared" si="1"/>
        <v>0</v>
      </c>
      <c r="U27" s="422"/>
      <c r="V27" s="265"/>
      <c r="W27" s="90"/>
      <c r="AF27" s="25"/>
      <c r="AG27" s="293"/>
    </row>
    <row r="28">
      <c r="A28" s="264"/>
      <c r="B28" s="361"/>
      <c r="C28" s="362">
        <v>11.0</v>
      </c>
      <c r="D28" s="363"/>
      <c r="E28" s="364"/>
      <c r="F28" s="365"/>
      <c r="G28" s="364"/>
      <c r="H28" s="366"/>
      <c r="I28" s="365"/>
      <c r="J28" s="367"/>
      <c r="K28" s="364"/>
      <c r="L28" s="365"/>
      <c r="M28" s="364"/>
      <c r="N28" s="366"/>
      <c r="O28" s="365"/>
      <c r="P28" s="367"/>
      <c r="Q28" s="364"/>
      <c r="R28" s="365"/>
      <c r="S28" s="364"/>
      <c r="T28" s="319">
        <f t="shared" si="1"/>
        <v>0</v>
      </c>
      <c r="U28" s="422"/>
      <c r="V28" s="265"/>
      <c r="W28" s="27"/>
      <c r="X28" s="22"/>
      <c r="Y28" s="22"/>
      <c r="Z28" s="22"/>
      <c r="AA28" s="22"/>
      <c r="AB28" s="22"/>
      <c r="AC28" s="22"/>
      <c r="AD28" s="22"/>
      <c r="AE28" s="22"/>
      <c r="AF28" s="28"/>
      <c r="AG28" s="293"/>
    </row>
    <row r="29">
      <c r="A29" s="264"/>
      <c r="B29" s="368"/>
      <c r="C29" s="265"/>
      <c r="D29" s="265"/>
      <c r="E29" s="265"/>
      <c r="F29" s="265"/>
      <c r="G29" s="265"/>
      <c r="H29" s="265"/>
      <c r="I29" s="292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</row>
    <row r="30">
      <c r="A30" s="264"/>
      <c r="B30" s="368"/>
      <c r="C30" s="265"/>
      <c r="D30" s="265"/>
      <c r="E30" s="265"/>
      <c r="F30" s="265"/>
      <c r="G30" s="265"/>
      <c r="H30" s="265"/>
      <c r="I30" s="265"/>
      <c r="J30" s="265"/>
      <c r="K30" s="292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93"/>
      <c r="X30" s="293"/>
      <c r="Y30" s="293"/>
      <c r="Z30" s="293"/>
      <c r="AA30" s="293"/>
      <c r="AB30" s="293"/>
      <c r="AC30" s="293"/>
      <c r="AD30" s="371"/>
      <c r="AE30" s="293"/>
      <c r="AF30" s="293"/>
      <c r="AG30" s="293"/>
    </row>
    <row r="31">
      <c r="A31" s="264"/>
      <c r="B31" s="265"/>
      <c r="C31" s="294" t="s">
        <v>209</v>
      </c>
      <c r="D31" s="295"/>
      <c r="E31" s="296" t="s">
        <v>233</v>
      </c>
      <c r="F31" s="297"/>
      <c r="G31" s="297"/>
      <c r="H31" s="297"/>
      <c r="I31" s="297"/>
      <c r="J31" s="297"/>
      <c r="K31" s="297"/>
      <c r="L31" s="297"/>
      <c r="M31" s="282"/>
      <c r="N31" s="298" t="s">
        <v>211</v>
      </c>
      <c r="O31" s="268"/>
      <c r="P31" s="57"/>
      <c r="Q31" s="286"/>
      <c r="R31" s="268"/>
      <c r="S31" s="57"/>
      <c r="T31" s="292"/>
      <c r="U31" s="265"/>
      <c r="V31" s="265"/>
      <c r="W31" s="299" t="s">
        <v>213</v>
      </c>
      <c r="X31" s="268"/>
      <c r="Y31" s="268"/>
      <c r="Z31" s="268"/>
      <c r="AA31" s="268"/>
      <c r="AB31" s="57"/>
      <c r="AC31" s="300"/>
      <c r="AD31" s="273"/>
      <c r="AE31" s="273"/>
      <c r="AF31" s="270"/>
      <c r="AG31" s="293"/>
    </row>
    <row r="32">
      <c r="A32" s="264"/>
      <c r="B32" s="265"/>
      <c r="C32" s="301" t="s">
        <v>214</v>
      </c>
      <c r="D32" s="372">
        <v>45904.0</v>
      </c>
      <c r="E32" s="303" t="s">
        <v>215</v>
      </c>
      <c r="F32" s="22"/>
      <c r="G32" s="28"/>
      <c r="H32" s="304" t="s">
        <v>216</v>
      </c>
      <c r="I32" s="297"/>
      <c r="J32" s="282"/>
      <c r="K32" s="304" t="s">
        <v>217</v>
      </c>
      <c r="L32" s="297"/>
      <c r="M32" s="282"/>
      <c r="N32" s="304" t="s">
        <v>218</v>
      </c>
      <c r="O32" s="297"/>
      <c r="P32" s="282"/>
      <c r="Q32" s="304" t="s">
        <v>219</v>
      </c>
      <c r="R32" s="297"/>
      <c r="S32" s="282"/>
      <c r="T32" s="265"/>
      <c r="U32" s="265"/>
      <c r="V32" s="265"/>
      <c r="W32" s="64"/>
      <c r="AB32" s="63"/>
      <c r="AF32" s="25"/>
      <c r="AG32" s="293"/>
    </row>
    <row r="33">
      <c r="A33" s="264"/>
      <c r="B33" s="305" t="s">
        <v>234</v>
      </c>
      <c r="C33" s="306" t="s">
        <v>221</v>
      </c>
      <c r="D33" s="306" t="s">
        <v>222</v>
      </c>
      <c r="E33" s="301" t="s">
        <v>223</v>
      </c>
      <c r="F33" s="301" t="s">
        <v>224</v>
      </c>
      <c r="G33" s="301" t="s">
        <v>66</v>
      </c>
      <c r="H33" s="301" t="s">
        <v>223</v>
      </c>
      <c r="I33" s="301" t="s">
        <v>224</v>
      </c>
      <c r="J33" s="301" t="s">
        <v>66</v>
      </c>
      <c r="K33" s="301" t="s">
        <v>223</v>
      </c>
      <c r="L33" s="301" t="s">
        <v>224</v>
      </c>
      <c r="M33" s="301" t="s">
        <v>66</v>
      </c>
      <c r="N33" s="301" t="s">
        <v>223</v>
      </c>
      <c r="O33" s="301" t="s">
        <v>224</v>
      </c>
      <c r="P33" s="301" t="s">
        <v>66</v>
      </c>
      <c r="Q33" s="301" t="s">
        <v>223</v>
      </c>
      <c r="R33" s="301" t="s">
        <v>224</v>
      </c>
      <c r="S33" s="301" t="s">
        <v>66</v>
      </c>
      <c r="T33" s="307" t="s">
        <v>225</v>
      </c>
      <c r="U33" s="421" t="s">
        <v>263</v>
      </c>
      <c r="V33" s="265"/>
      <c r="W33" s="275"/>
      <c r="X33" s="276"/>
      <c r="Y33" s="276"/>
      <c r="Z33" s="276"/>
      <c r="AA33" s="276"/>
      <c r="AB33" s="291"/>
      <c r="AC33" s="22"/>
      <c r="AD33" s="22"/>
      <c r="AE33" s="22"/>
      <c r="AF33" s="28"/>
      <c r="AG33" s="293"/>
    </row>
    <row r="34">
      <c r="A34" s="264"/>
      <c r="B34" s="308"/>
      <c r="C34" s="309">
        <v>1.0</v>
      </c>
      <c r="D34" s="373" t="s">
        <v>104</v>
      </c>
      <c r="E34" s="374">
        <v>9.0</v>
      </c>
      <c r="F34" s="312">
        <v>10.0</v>
      </c>
      <c r="G34" s="384"/>
      <c r="H34" s="376">
        <v>11.0</v>
      </c>
      <c r="I34" s="312">
        <v>10.0</v>
      </c>
      <c r="J34" s="317"/>
      <c r="K34" s="311"/>
      <c r="L34" s="312"/>
      <c r="M34" s="318"/>
      <c r="N34" s="342"/>
      <c r="O34" s="432"/>
      <c r="P34" s="432"/>
      <c r="Q34" s="317"/>
      <c r="R34" s="317"/>
      <c r="S34" s="211"/>
      <c r="T34" s="433">
        <f t="shared" ref="T34:T44" si="2">(E34*F34)+(H34*I34)+(K34*L34)+(N34*O34)+(Q34*R34)</f>
        <v>200</v>
      </c>
      <c r="U34" s="422"/>
      <c r="V34" s="265"/>
      <c r="W34" s="320">
        <v>1.0</v>
      </c>
      <c r="X34" s="321">
        <v>2.0</v>
      </c>
      <c r="Y34" s="322">
        <v>3.0</v>
      </c>
      <c r="Z34" s="323">
        <v>4.0</v>
      </c>
      <c r="AA34" s="324">
        <v>5.0</v>
      </c>
      <c r="AB34" s="325">
        <v>6.0</v>
      </c>
      <c r="AC34" s="326">
        <v>7.0</v>
      </c>
      <c r="AD34" s="327">
        <v>8.0</v>
      </c>
      <c r="AE34" s="328">
        <v>9.0</v>
      </c>
      <c r="AF34" s="329">
        <v>10.0</v>
      </c>
      <c r="AG34" s="293"/>
    </row>
    <row r="35">
      <c r="A35" s="264"/>
      <c r="B35" s="308"/>
      <c r="C35" s="330">
        <v>2.0</v>
      </c>
      <c r="D35" s="377" t="s">
        <v>145</v>
      </c>
      <c r="E35" s="378">
        <v>10.0</v>
      </c>
      <c r="F35" s="333">
        <v>80.0</v>
      </c>
      <c r="G35" s="380"/>
      <c r="H35" s="381">
        <v>8.0</v>
      </c>
      <c r="I35" s="333">
        <v>80.0</v>
      </c>
      <c r="J35" s="339"/>
      <c r="K35" s="332"/>
      <c r="L35" s="333"/>
      <c r="M35" s="336"/>
      <c r="N35" s="333"/>
      <c r="O35" s="434"/>
      <c r="P35" s="434"/>
      <c r="Q35" s="336"/>
      <c r="R35" s="338"/>
      <c r="S35" s="429"/>
      <c r="T35" s="433">
        <f t="shared" si="2"/>
        <v>1440</v>
      </c>
      <c r="U35" s="422"/>
      <c r="V35" s="265"/>
      <c r="W35" s="340" t="s">
        <v>227</v>
      </c>
      <c r="X35" s="268"/>
      <c r="Y35" s="268"/>
      <c r="Z35" s="268"/>
      <c r="AA35" s="268"/>
      <c r="AB35" s="57"/>
      <c r="AC35" s="300"/>
      <c r="AD35" s="273"/>
      <c r="AE35" s="273"/>
      <c r="AF35" s="270"/>
      <c r="AG35" s="293"/>
    </row>
    <row r="36">
      <c r="A36" s="264"/>
      <c r="B36" s="308"/>
      <c r="C36" s="309">
        <v>3.0</v>
      </c>
      <c r="D36" s="382" t="s">
        <v>146</v>
      </c>
      <c r="E36" s="374">
        <v>7.0</v>
      </c>
      <c r="F36" s="342">
        <v>30.0</v>
      </c>
      <c r="G36" s="384"/>
      <c r="H36" s="385">
        <v>6.0</v>
      </c>
      <c r="I36" s="342">
        <v>30.0</v>
      </c>
      <c r="J36" s="344"/>
      <c r="K36" s="311"/>
      <c r="L36" s="342"/>
      <c r="M36" s="318"/>
      <c r="N36" s="342"/>
      <c r="O36" s="432"/>
      <c r="P36" s="432"/>
      <c r="Q36" s="318"/>
      <c r="R36" s="346"/>
      <c r="S36" s="223"/>
      <c r="T36" s="433">
        <f t="shared" si="2"/>
        <v>390</v>
      </c>
      <c r="U36" s="422"/>
      <c r="V36" s="265"/>
      <c r="W36" s="64"/>
      <c r="AB36" s="63"/>
      <c r="AF36" s="25"/>
      <c r="AG36" s="293"/>
    </row>
    <row r="37">
      <c r="A37" s="264"/>
      <c r="B37" s="308"/>
      <c r="C37" s="330">
        <v>4.0</v>
      </c>
      <c r="D37" s="377" t="s">
        <v>76</v>
      </c>
      <c r="E37" s="378">
        <v>10.0</v>
      </c>
      <c r="F37" s="333">
        <v>10.0</v>
      </c>
      <c r="G37" s="380"/>
      <c r="H37" s="381"/>
      <c r="I37" s="333">
        <v>10.0</v>
      </c>
      <c r="J37" s="339"/>
      <c r="K37" s="332"/>
      <c r="L37" s="333"/>
      <c r="M37" s="336"/>
      <c r="N37" s="333"/>
      <c r="O37" s="435"/>
      <c r="P37" s="436"/>
      <c r="Q37" s="339"/>
      <c r="R37" s="338"/>
      <c r="S37" s="430"/>
      <c r="T37" s="426">
        <f t="shared" si="2"/>
        <v>100</v>
      </c>
      <c r="U37" s="422"/>
      <c r="V37" s="265"/>
      <c r="W37" s="275"/>
      <c r="X37" s="276"/>
      <c r="Y37" s="276"/>
      <c r="Z37" s="276"/>
      <c r="AA37" s="276"/>
      <c r="AB37" s="291"/>
      <c r="AC37" s="22"/>
      <c r="AD37" s="22"/>
      <c r="AE37" s="22"/>
      <c r="AF37" s="28"/>
      <c r="AG37" s="293"/>
    </row>
    <row r="38">
      <c r="A38" s="264"/>
      <c r="B38" s="308"/>
      <c r="C38" s="309">
        <v>5.0</v>
      </c>
      <c r="D38" s="382" t="s">
        <v>147</v>
      </c>
      <c r="E38" s="374">
        <v>12.0</v>
      </c>
      <c r="F38" s="342">
        <v>7.5</v>
      </c>
      <c r="G38" s="384"/>
      <c r="H38" s="385">
        <v>8.0</v>
      </c>
      <c r="I38" s="342">
        <v>6.0</v>
      </c>
      <c r="J38" s="344"/>
      <c r="K38" s="311"/>
      <c r="L38" s="342"/>
      <c r="M38" s="318"/>
      <c r="N38" s="342"/>
      <c r="O38" s="437"/>
      <c r="P38" s="222"/>
      <c r="Q38" s="344"/>
      <c r="R38" s="346"/>
      <c r="S38" s="249"/>
      <c r="T38" s="426">
        <f t="shared" si="2"/>
        <v>138</v>
      </c>
      <c r="U38" s="422"/>
      <c r="V38" s="265"/>
      <c r="W38" s="347">
        <v>1.0</v>
      </c>
      <c r="X38" s="348">
        <v>2.0</v>
      </c>
      <c r="Y38" s="349">
        <v>3.0</v>
      </c>
      <c r="Z38" s="350">
        <v>4.0</v>
      </c>
      <c r="AA38" s="351">
        <v>5.0</v>
      </c>
      <c r="AB38" s="352">
        <v>6.0</v>
      </c>
      <c r="AC38" s="353">
        <v>7.0</v>
      </c>
      <c r="AD38" s="354">
        <v>8.0</v>
      </c>
      <c r="AE38" s="355">
        <v>9.0</v>
      </c>
      <c r="AF38" s="356">
        <v>10.0</v>
      </c>
      <c r="AG38" s="293"/>
    </row>
    <row r="39">
      <c r="A39" s="264"/>
      <c r="B39" s="308"/>
      <c r="C39" s="330">
        <v>6.0</v>
      </c>
      <c r="D39" s="331" t="s">
        <v>149</v>
      </c>
      <c r="E39" s="378">
        <v>12.0</v>
      </c>
      <c r="F39" s="333">
        <v>20.0</v>
      </c>
      <c r="G39" s="380"/>
      <c r="H39" s="381">
        <v>12.0</v>
      </c>
      <c r="I39" s="333">
        <v>20.0</v>
      </c>
      <c r="J39" s="339"/>
      <c r="K39" s="336"/>
      <c r="L39" s="333"/>
      <c r="M39" s="336"/>
      <c r="N39" s="338"/>
      <c r="O39" s="434"/>
      <c r="P39" s="434"/>
      <c r="Q39" s="336"/>
      <c r="R39" s="338"/>
      <c r="S39" s="429"/>
      <c r="T39" s="433">
        <f t="shared" si="2"/>
        <v>480</v>
      </c>
      <c r="U39" s="422"/>
      <c r="V39" s="265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</row>
    <row r="40" ht="33.0" customHeight="1">
      <c r="A40" s="264"/>
      <c r="B40" s="308"/>
      <c r="C40" s="309">
        <v>7.0</v>
      </c>
      <c r="D40" s="382" t="s">
        <v>151</v>
      </c>
      <c r="E40" s="343">
        <v>16.0</v>
      </c>
      <c r="F40" s="342">
        <v>6.0</v>
      </c>
      <c r="G40" s="318"/>
      <c r="H40" s="343">
        <v>20.0</v>
      </c>
      <c r="I40" s="342">
        <v>6.0</v>
      </c>
      <c r="J40" s="344"/>
      <c r="K40" s="318"/>
      <c r="L40" s="346"/>
      <c r="M40" s="318"/>
      <c r="N40" s="346"/>
      <c r="O40" s="437"/>
      <c r="P40" s="222"/>
      <c r="Q40" s="344"/>
      <c r="R40" s="346"/>
      <c r="S40" s="261"/>
      <c r="T40" s="426">
        <f t="shared" si="2"/>
        <v>216</v>
      </c>
      <c r="U40" s="422"/>
      <c r="V40" s="265"/>
      <c r="W40" s="357" t="s">
        <v>231</v>
      </c>
      <c r="X40" s="268"/>
      <c r="Y40" s="268"/>
      <c r="Z40" s="268"/>
      <c r="AA40" s="268"/>
      <c r="AB40" s="268"/>
      <c r="AC40" s="268"/>
      <c r="AD40" s="268"/>
      <c r="AE40" s="268"/>
      <c r="AF40" s="57"/>
      <c r="AG40" s="293"/>
    </row>
    <row r="41">
      <c r="A41" s="264"/>
      <c r="B41" s="308"/>
      <c r="C41" s="330">
        <v>8.0</v>
      </c>
      <c r="D41" s="358"/>
      <c r="E41" s="336"/>
      <c r="F41" s="338"/>
      <c r="G41" s="336"/>
      <c r="H41" s="337"/>
      <c r="I41" s="338"/>
      <c r="J41" s="339"/>
      <c r="K41" s="336"/>
      <c r="L41" s="338"/>
      <c r="M41" s="336"/>
      <c r="N41" s="337"/>
      <c r="O41" s="338"/>
      <c r="P41" s="339"/>
      <c r="Q41" s="336"/>
      <c r="R41" s="338"/>
      <c r="S41" s="336"/>
      <c r="T41" s="426">
        <f t="shared" si="2"/>
        <v>0</v>
      </c>
      <c r="U41" s="422"/>
      <c r="V41" s="265"/>
      <c r="W41" s="370"/>
      <c r="X41" s="273"/>
      <c r="Y41" s="273"/>
      <c r="Z41" s="273"/>
      <c r="AA41" s="273"/>
      <c r="AB41" s="273"/>
      <c r="AC41" s="273"/>
      <c r="AD41" s="273"/>
      <c r="AE41" s="273"/>
      <c r="AF41" s="270"/>
      <c r="AG41" s="293"/>
    </row>
    <row r="42">
      <c r="A42" s="264"/>
      <c r="B42" s="308"/>
      <c r="C42" s="309">
        <v>9.0</v>
      </c>
      <c r="D42" s="360"/>
      <c r="E42" s="318"/>
      <c r="F42" s="346"/>
      <c r="G42" s="318"/>
      <c r="H42" s="345"/>
      <c r="I42" s="346"/>
      <c r="J42" s="344"/>
      <c r="K42" s="318"/>
      <c r="L42" s="346"/>
      <c r="M42" s="318"/>
      <c r="N42" s="345"/>
      <c r="O42" s="346"/>
      <c r="P42" s="344"/>
      <c r="Q42" s="318"/>
      <c r="R42" s="346"/>
      <c r="S42" s="318"/>
      <c r="T42" s="426">
        <f t="shared" si="2"/>
        <v>0</v>
      </c>
      <c r="U42" s="422"/>
      <c r="V42" s="265"/>
      <c r="W42" s="90"/>
      <c r="AF42" s="25"/>
      <c r="AG42" s="293"/>
    </row>
    <row r="43">
      <c r="A43" s="264"/>
      <c r="B43" s="308"/>
      <c r="C43" s="330">
        <v>10.0</v>
      </c>
      <c r="D43" s="358"/>
      <c r="E43" s="336"/>
      <c r="F43" s="338"/>
      <c r="G43" s="336"/>
      <c r="H43" s="337"/>
      <c r="I43" s="338"/>
      <c r="J43" s="339"/>
      <c r="K43" s="336"/>
      <c r="L43" s="338"/>
      <c r="M43" s="336"/>
      <c r="N43" s="337"/>
      <c r="O43" s="338"/>
      <c r="P43" s="339"/>
      <c r="Q43" s="336"/>
      <c r="R43" s="338"/>
      <c r="S43" s="336"/>
      <c r="T43" s="426">
        <f t="shared" si="2"/>
        <v>0</v>
      </c>
      <c r="U43" s="422"/>
      <c r="V43" s="265"/>
      <c r="W43" s="90"/>
      <c r="AF43" s="25"/>
      <c r="AG43" s="293"/>
    </row>
    <row r="44">
      <c r="A44" s="264"/>
      <c r="B44" s="361"/>
      <c r="C44" s="362">
        <v>11.0</v>
      </c>
      <c r="D44" s="363"/>
      <c r="E44" s="364"/>
      <c r="F44" s="365"/>
      <c r="G44" s="364"/>
      <c r="H44" s="366"/>
      <c r="I44" s="365"/>
      <c r="J44" s="367"/>
      <c r="K44" s="364"/>
      <c r="L44" s="365"/>
      <c r="M44" s="364"/>
      <c r="N44" s="366"/>
      <c r="O44" s="365"/>
      <c r="P44" s="367"/>
      <c r="Q44" s="364"/>
      <c r="R44" s="365"/>
      <c r="S44" s="364"/>
      <c r="T44" s="426">
        <f t="shared" si="2"/>
        <v>0</v>
      </c>
      <c r="U44" s="422"/>
      <c r="V44" s="265"/>
      <c r="W44" s="27"/>
      <c r="X44" s="22"/>
      <c r="Y44" s="22"/>
      <c r="Z44" s="22"/>
      <c r="AA44" s="22"/>
      <c r="AB44" s="22"/>
      <c r="AC44" s="22"/>
      <c r="AD44" s="22"/>
      <c r="AE44" s="22"/>
      <c r="AF44" s="28"/>
      <c r="AG44" s="293"/>
    </row>
    <row r="45">
      <c r="A45" s="264"/>
      <c r="B45" s="368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</row>
    <row r="46">
      <c r="A46" s="264"/>
      <c r="B46" s="265"/>
      <c r="C46" s="294" t="s">
        <v>209</v>
      </c>
      <c r="D46" s="295"/>
      <c r="E46" s="296" t="s">
        <v>241</v>
      </c>
      <c r="F46" s="297"/>
      <c r="G46" s="297"/>
      <c r="H46" s="297"/>
      <c r="I46" s="297"/>
      <c r="J46" s="297"/>
      <c r="K46" s="297"/>
      <c r="L46" s="297"/>
      <c r="M46" s="282"/>
      <c r="N46" s="298" t="s">
        <v>211</v>
      </c>
      <c r="O46" s="268"/>
      <c r="P46" s="57"/>
      <c r="Q46" s="286"/>
      <c r="R46" s="268"/>
      <c r="S46" s="57"/>
      <c r="T46" s="292"/>
      <c r="U46" s="265"/>
      <c r="V46" s="265"/>
      <c r="W46" s="299" t="s">
        <v>213</v>
      </c>
      <c r="X46" s="268"/>
      <c r="Y46" s="268"/>
      <c r="Z46" s="268"/>
      <c r="AA46" s="268"/>
      <c r="AB46" s="57"/>
      <c r="AC46" s="300"/>
      <c r="AD46" s="273"/>
      <c r="AE46" s="273"/>
      <c r="AF46" s="270"/>
      <c r="AG46" s="293"/>
    </row>
    <row r="47">
      <c r="A47" s="264"/>
      <c r="B47" s="265"/>
      <c r="C47" s="301" t="s">
        <v>214</v>
      </c>
      <c r="D47" s="372">
        <v>45908.0</v>
      </c>
      <c r="E47" s="303" t="s">
        <v>215</v>
      </c>
      <c r="F47" s="22"/>
      <c r="G47" s="28"/>
      <c r="H47" s="304" t="s">
        <v>216</v>
      </c>
      <c r="I47" s="297"/>
      <c r="J47" s="282"/>
      <c r="K47" s="304" t="s">
        <v>217</v>
      </c>
      <c r="L47" s="297"/>
      <c r="M47" s="282"/>
      <c r="N47" s="304" t="s">
        <v>218</v>
      </c>
      <c r="O47" s="297"/>
      <c r="P47" s="282"/>
      <c r="Q47" s="304" t="s">
        <v>219</v>
      </c>
      <c r="R47" s="297"/>
      <c r="S47" s="282"/>
      <c r="T47" s="265"/>
      <c r="U47" s="265"/>
      <c r="V47" s="265"/>
      <c r="W47" s="64"/>
      <c r="AB47" s="63"/>
      <c r="AF47" s="25"/>
      <c r="AG47" s="293"/>
    </row>
    <row r="48">
      <c r="A48" s="264"/>
      <c r="B48" s="305" t="s">
        <v>242</v>
      </c>
      <c r="C48" s="306" t="s">
        <v>221</v>
      </c>
      <c r="D48" s="306" t="s">
        <v>222</v>
      </c>
      <c r="E48" s="301" t="s">
        <v>223</v>
      </c>
      <c r="F48" s="301" t="s">
        <v>224</v>
      </c>
      <c r="G48" s="301" t="s">
        <v>66</v>
      </c>
      <c r="H48" s="301" t="s">
        <v>223</v>
      </c>
      <c r="I48" s="301" t="s">
        <v>224</v>
      </c>
      <c r="J48" s="301" t="s">
        <v>66</v>
      </c>
      <c r="K48" s="301" t="s">
        <v>223</v>
      </c>
      <c r="L48" s="301" t="s">
        <v>224</v>
      </c>
      <c r="M48" s="301" t="s">
        <v>66</v>
      </c>
      <c r="N48" s="301" t="s">
        <v>223</v>
      </c>
      <c r="O48" s="301" t="s">
        <v>224</v>
      </c>
      <c r="P48" s="301" t="s">
        <v>66</v>
      </c>
      <c r="Q48" s="301" t="s">
        <v>223</v>
      </c>
      <c r="R48" s="301" t="s">
        <v>224</v>
      </c>
      <c r="S48" s="301" t="s">
        <v>66</v>
      </c>
      <c r="T48" s="307" t="s">
        <v>225</v>
      </c>
      <c r="U48" s="421" t="s">
        <v>263</v>
      </c>
      <c r="V48" s="265"/>
      <c r="W48" s="275"/>
      <c r="X48" s="276"/>
      <c r="Y48" s="276"/>
      <c r="Z48" s="276"/>
      <c r="AA48" s="276"/>
      <c r="AB48" s="291"/>
      <c r="AC48" s="22"/>
      <c r="AD48" s="22"/>
      <c r="AE48" s="22"/>
      <c r="AF48" s="28"/>
      <c r="AG48" s="293"/>
    </row>
    <row r="49" ht="33.75" customHeight="1">
      <c r="A49" s="264"/>
      <c r="B49" s="308"/>
      <c r="C49" s="309">
        <v>1.0</v>
      </c>
      <c r="D49" s="360" t="s">
        <v>154</v>
      </c>
      <c r="E49" s="413">
        <v>10.0</v>
      </c>
      <c r="F49" s="413">
        <v>7.5</v>
      </c>
      <c r="G49" s="414"/>
      <c r="H49" s="413">
        <v>10.0</v>
      </c>
      <c r="I49" s="413">
        <v>7.5</v>
      </c>
      <c r="J49" s="317"/>
      <c r="K49" s="311"/>
      <c r="L49" s="312"/>
      <c r="M49" s="318"/>
      <c r="N49" s="315"/>
      <c r="O49" s="316"/>
      <c r="P49" s="317"/>
      <c r="Q49" s="318"/>
      <c r="R49" s="316"/>
      <c r="S49" s="318"/>
      <c r="T49" s="319">
        <f t="shared" ref="T49:T59" si="3">(E49*F49)+(H49*I49)+(K49*L49)+(N49*O49)+(Q49*R49)</f>
        <v>150</v>
      </c>
      <c r="U49" s="422"/>
      <c r="V49" s="265"/>
      <c r="W49" s="320">
        <v>1.0</v>
      </c>
      <c r="X49" s="321">
        <v>2.0</v>
      </c>
      <c r="Y49" s="322">
        <v>3.0</v>
      </c>
      <c r="Z49" s="323">
        <v>4.0</v>
      </c>
      <c r="AA49" s="324">
        <v>5.0</v>
      </c>
      <c r="AB49" s="325">
        <v>6.0</v>
      </c>
      <c r="AC49" s="326">
        <v>7.0</v>
      </c>
      <c r="AD49" s="327">
        <v>8.0</v>
      </c>
      <c r="AE49" s="328">
        <v>9.0</v>
      </c>
      <c r="AF49" s="329">
        <v>10.0</v>
      </c>
      <c r="AG49" s="293"/>
    </row>
    <row r="50" ht="33.75" customHeight="1">
      <c r="A50" s="264"/>
      <c r="B50" s="308"/>
      <c r="C50" s="330">
        <v>2.0</v>
      </c>
      <c r="D50" s="358" t="s">
        <v>155</v>
      </c>
      <c r="E50" s="427">
        <v>10.0</v>
      </c>
      <c r="F50" s="427">
        <v>25.0</v>
      </c>
      <c r="G50" s="416"/>
      <c r="H50" s="427">
        <v>13.0</v>
      </c>
      <c r="I50" s="415">
        <v>25.0</v>
      </c>
      <c r="J50" s="339"/>
      <c r="K50" s="332"/>
      <c r="L50" s="333"/>
      <c r="M50" s="336"/>
      <c r="N50" s="337"/>
      <c r="O50" s="338"/>
      <c r="P50" s="339"/>
      <c r="Q50" s="336"/>
      <c r="R50" s="338"/>
      <c r="S50" s="336"/>
      <c r="T50" s="319">
        <f t="shared" si="3"/>
        <v>575</v>
      </c>
      <c r="U50" s="422"/>
      <c r="V50" s="265"/>
      <c r="W50" s="340" t="s">
        <v>227</v>
      </c>
      <c r="X50" s="268"/>
      <c r="Y50" s="268"/>
      <c r="Z50" s="268"/>
      <c r="AA50" s="268"/>
      <c r="AB50" s="57"/>
      <c r="AC50" s="300"/>
      <c r="AD50" s="273"/>
      <c r="AE50" s="273"/>
      <c r="AF50" s="270"/>
      <c r="AG50" s="293"/>
    </row>
    <row r="51" ht="33.75" customHeight="1">
      <c r="A51" s="264"/>
      <c r="B51" s="308"/>
      <c r="C51" s="309">
        <v>3.0</v>
      </c>
      <c r="D51" s="360" t="s">
        <v>156</v>
      </c>
      <c r="E51" s="428">
        <v>8.0</v>
      </c>
      <c r="F51" s="428">
        <v>60.0</v>
      </c>
      <c r="G51" s="418"/>
      <c r="H51" s="417">
        <v>8.0</v>
      </c>
      <c r="I51" s="428">
        <v>60.0</v>
      </c>
      <c r="J51" s="344"/>
      <c r="K51" s="311"/>
      <c r="L51" s="342"/>
      <c r="M51" s="318"/>
      <c r="N51" s="345"/>
      <c r="O51" s="346"/>
      <c r="P51" s="344"/>
      <c r="Q51" s="318"/>
      <c r="R51" s="346"/>
      <c r="S51" s="318"/>
      <c r="T51" s="319">
        <f t="shared" si="3"/>
        <v>960</v>
      </c>
      <c r="U51" s="422"/>
      <c r="V51" s="265"/>
      <c r="W51" s="64"/>
      <c r="AB51" s="63"/>
      <c r="AF51" s="25"/>
      <c r="AG51" s="293"/>
    </row>
    <row r="52" ht="33.75" customHeight="1">
      <c r="A52" s="264"/>
      <c r="B52" s="308"/>
      <c r="C52" s="330">
        <v>4.0</v>
      </c>
      <c r="D52" s="358" t="s">
        <v>159</v>
      </c>
      <c r="E52" s="415">
        <v>12.0</v>
      </c>
      <c r="F52" s="427">
        <v>50.0</v>
      </c>
      <c r="G52" s="416"/>
      <c r="H52" s="415">
        <v>12.0</v>
      </c>
      <c r="I52" s="427">
        <v>50.0</v>
      </c>
      <c r="J52" s="339"/>
      <c r="K52" s="332"/>
      <c r="L52" s="333"/>
      <c r="M52" s="336"/>
      <c r="N52" s="337"/>
      <c r="O52" s="338"/>
      <c r="P52" s="339"/>
      <c r="Q52" s="336"/>
      <c r="R52" s="338"/>
      <c r="S52" s="336"/>
      <c r="T52" s="319">
        <f t="shared" si="3"/>
        <v>1200</v>
      </c>
      <c r="U52" s="422"/>
      <c r="V52" s="265"/>
      <c r="W52" s="275"/>
      <c r="X52" s="276"/>
      <c r="Y52" s="276"/>
      <c r="Z52" s="276"/>
      <c r="AA52" s="276"/>
      <c r="AB52" s="291"/>
      <c r="AC52" s="22"/>
      <c r="AD52" s="22"/>
      <c r="AE52" s="22"/>
      <c r="AF52" s="28"/>
      <c r="AG52" s="293"/>
    </row>
    <row r="53" ht="33.75" customHeight="1">
      <c r="A53" s="264"/>
      <c r="B53" s="308"/>
      <c r="C53" s="309">
        <v>5.0</v>
      </c>
      <c r="D53" s="360" t="s">
        <v>161</v>
      </c>
      <c r="E53" s="417">
        <v>10.0</v>
      </c>
      <c r="F53" s="417">
        <v>35.0</v>
      </c>
      <c r="G53" s="420"/>
      <c r="H53" s="417">
        <v>8.0</v>
      </c>
      <c r="I53" s="417">
        <v>36.0</v>
      </c>
      <c r="J53" s="344"/>
      <c r="K53" s="311"/>
      <c r="L53" s="342"/>
      <c r="M53" s="318"/>
      <c r="N53" s="345"/>
      <c r="O53" s="346"/>
      <c r="P53" s="344"/>
      <c r="Q53" s="318"/>
      <c r="R53" s="346"/>
      <c r="S53" s="318"/>
      <c r="T53" s="319">
        <f t="shared" si="3"/>
        <v>638</v>
      </c>
      <c r="U53" s="422"/>
      <c r="V53" s="265"/>
      <c r="W53" s="347">
        <v>1.0</v>
      </c>
      <c r="X53" s="348">
        <v>2.0</v>
      </c>
      <c r="Y53" s="349">
        <v>3.0</v>
      </c>
      <c r="Z53" s="350">
        <v>4.0</v>
      </c>
      <c r="AA53" s="351">
        <v>5.0</v>
      </c>
      <c r="AB53" s="352">
        <v>6.0</v>
      </c>
      <c r="AC53" s="353">
        <v>7.0</v>
      </c>
      <c r="AD53" s="354">
        <v>8.0</v>
      </c>
      <c r="AE53" s="355">
        <v>9.0</v>
      </c>
      <c r="AF53" s="356">
        <v>10.0</v>
      </c>
      <c r="AG53" s="293"/>
    </row>
    <row r="54" ht="33.75" customHeight="1">
      <c r="A54" s="264"/>
      <c r="B54" s="308"/>
      <c r="C54" s="330">
        <v>6.0</v>
      </c>
      <c r="D54" s="358" t="s">
        <v>107</v>
      </c>
      <c r="E54" s="415">
        <v>16.0</v>
      </c>
      <c r="F54" s="427">
        <v>12.5</v>
      </c>
      <c r="G54" s="419"/>
      <c r="H54" s="415">
        <v>21.0</v>
      </c>
      <c r="I54" s="427">
        <v>12.5</v>
      </c>
      <c r="J54" s="339"/>
      <c r="K54" s="332"/>
      <c r="L54" s="338"/>
      <c r="M54" s="336"/>
      <c r="N54" s="337"/>
      <c r="O54" s="338"/>
      <c r="P54" s="339"/>
      <c r="Q54" s="336"/>
      <c r="R54" s="338"/>
      <c r="S54" s="336"/>
      <c r="T54" s="319">
        <f t="shared" si="3"/>
        <v>462.5</v>
      </c>
      <c r="U54" s="422"/>
      <c r="V54" s="265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3"/>
    </row>
    <row r="55" ht="33.75" customHeight="1">
      <c r="A55" s="264"/>
      <c r="B55" s="308"/>
      <c r="C55" s="309">
        <v>7.0</v>
      </c>
      <c r="D55" s="360" t="s">
        <v>163</v>
      </c>
      <c r="E55" s="417">
        <v>16.0</v>
      </c>
      <c r="F55" s="417">
        <v>7.5</v>
      </c>
      <c r="G55" s="420"/>
      <c r="H55" s="417">
        <v>20.0</v>
      </c>
      <c r="I55" s="417">
        <v>7.5</v>
      </c>
      <c r="J55" s="344"/>
      <c r="K55" s="311"/>
      <c r="L55" s="342"/>
      <c r="M55" s="318"/>
      <c r="N55" s="345"/>
      <c r="O55" s="346"/>
      <c r="P55" s="344"/>
      <c r="Q55" s="318"/>
      <c r="R55" s="346"/>
      <c r="S55" s="318"/>
      <c r="T55" s="319">
        <f t="shared" si="3"/>
        <v>270</v>
      </c>
      <c r="U55" s="422"/>
      <c r="V55" s="265"/>
      <c r="W55" s="357" t="s">
        <v>231</v>
      </c>
      <c r="X55" s="268"/>
      <c r="Y55" s="268"/>
      <c r="Z55" s="268"/>
      <c r="AA55" s="268"/>
      <c r="AB55" s="268"/>
      <c r="AC55" s="268"/>
      <c r="AD55" s="268"/>
      <c r="AE55" s="268"/>
      <c r="AF55" s="57"/>
      <c r="AG55" s="293"/>
    </row>
    <row r="56" ht="33.75" customHeight="1">
      <c r="A56" s="264"/>
      <c r="B56" s="308"/>
      <c r="C56" s="330">
        <v>8.0</v>
      </c>
      <c r="D56" s="358"/>
      <c r="E56" s="336"/>
      <c r="F56" s="338"/>
      <c r="G56" s="336"/>
      <c r="H56" s="337"/>
      <c r="I56" s="338"/>
      <c r="J56" s="339"/>
      <c r="K56" s="336"/>
      <c r="L56" s="338"/>
      <c r="M56" s="336"/>
      <c r="N56" s="337"/>
      <c r="O56" s="338"/>
      <c r="P56" s="339"/>
      <c r="Q56" s="336"/>
      <c r="R56" s="338"/>
      <c r="S56" s="336"/>
      <c r="T56" s="319">
        <f t="shared" si="3"/>
        <v>0</v>
      </c>
      <c r="U56" s="422"/>
      <c r="V56" s="265"/>
      <c r="W56" s="359"/>
      <c r="X56" s="273"/>
      <c r="Y56" s="273"/>
      <c r="Z56" s="273"/>
      <c r="AA56" s="273"/>
      <c r="AB56" s="273"/>
      <c r="AC56" s="273"/>
      <c r="AD56" s="273"/>
      <c r="AE56" s="273"/>
      <c r="AF56" s="270"/>
      <c r="AG56" s="293"/>
    </row>
    <row r="57" ht="33.75" customHeight="1">
      <c r="A57" s="264"/>
      <c r="B57" s="308"/>
      <c r="C57" s="309">
        <v>9.0</v>
      </c>
      <c r="D57" s="360"/>
      <c r="E57" s="318"/>
      <c r="F57" s="346"/>
      <c r="G57" s="318"/>
      <c r="H57" s="345"/>
      <c r="I57" s="346"/>
      <c r="J57" s="344"/>
      <c r="K57" s="318"/>
      <c r="L57" s="346"/>
      <c r="M57" s="318"/>
      <c r="N57" s="345"/>
      <c r="O57" s="346"/>
      <c r="P57" s="344"/>
      <c r="Q57" s="318"/>
      <c r="R57" s="346"/>
      <c r="S57" s="318"/>
      <c r="T57" s="319">
        <f t="shared" si="3"/>
        <v>0</v>
      </c>
      <c r="U57" s="422"/>
      <c r="V57" s="265"/>
      <c r="W57" s="90"/>
      <c r="AF57" s="25"/>
      <c r="AG57" s="293"/>
    </row>
    <row r="58" ht="33.75" customHeight="1">
      <c r="A58" s="264"/>
      <c r="B58" s="308"/>
      <c r="C58" s="330">
        <v>10.0</v>
      </c>
      <c r="D58" s="358"/>
      <c r="E58" s="336"/>
      <c r="F58" s="338"/>
      <c r="G58" s="336"/>
      <c r="H58" s="337"/>
      <c r="I58" s="338"/>
      <c r="J58" s="339"/>
      <c r="K58" s="336"/>
      <c r="L58" s="338"/>
      <c r="M58" s="336"/>
      <c r="N58" s="337"/>
      <c r="O58" s="338"/>
      <c r="P58" s="339"/>
      <c r="Q58" s="336"/>
      <c r="R58" s="338"/>
      <c r="S58" s="336"/>
      <c r="T58" s="319">
        <f t="shared" si="3"/>
        <v>0</v>
      </c>
      <c r="U58" s="422"/>
      <c r="V58" s="265"/>
      <c r="W58" s="90"/>
      <c r="AF58" s="25"/>
      <c r="AG58" s="293"/>
    </row>
    <row r="59" ht="33.75" customHeight="1">
      <c r="A59" s="264"/>
      <c r="B59" s="361"/>
      <c r="C59" s="362">
        <v>11.0</v>
      </c>
      <c r="D59" s="363"/>
      <c r="E59" s="364"/>
      <c r="F59" s="365"/>
      <c r="G59" s="364"/>
      <c r="H59" s="366"/>
      <c r="I59" s="365"/>
      <c r="J59" s="367"/>
      <c r="K59" s="364"/>
      <c r="L59" s="365"/>
      <c r="M59" s="364"/>
      <c r="N59" s="366"/>
      <c r="O59" s="365"/>
      <c r="P59" s="367"/>
      <c r="Q59" s="364"/>
      <c r="R59" s="365"/>
      <c r="S59" s="364"/>
      <c r="T59" s="319">
        <f t="shared" si="3"/>
        <v>0</v>
      </c>
      <c r="U59" s="422"/>
      <c r="V59" s="265"/>
      <c r="W59" s="27"/>
      <c r="X59" s="22"/>
      <c r="Y59" s="22"/>
      <c r="Z59" s="22"/>
      <c r="AA59" s="22"/>
      <c r="AB59" s="22"/>
      <c r="AC59" s="22"/>
      <c r="AD59" s="22"/>
      <c r="AE59" s="22"/>
      <c r="AF59" s="28"/>
      <c r="AG59" s="293"/>
    </row>
    <row r="60">
      <c r="A60" s="264"/>
      <c r="B60" s="368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92"/>
      <c r="R60" s="265"/>
      <c r="S60" s="265"/>
      <c r="T60" s="265"/>
      <c r="U60" s="265"/>
      <c r="V60" s="265"/>
      <c r="W60" s="293"/>
      <c r="X60" s="293"/>
      <c r="Y60" s="293"/>
      <c r="Z60" s="293"/>
      <c r="AA60" s="293"/>
      <c r="AB60" s="371"/>
      <c r="AC60" s="293"/>
      <c r="AD60" s="293"/>
      <c r="AE60" s="293"/>
      <c r="AF60" s="293"/>
      <c r="AG60" s="293"/>
    </row>
    <row r="61">
      <c r="A61" s="264"/>
      <c r="B61" s="265"/>
      <c r="C61" s="294" t="s">
        <v>209</v>
      </c>
      <c r="D61" s="295"/>
      <c r="E61" s="296" t="s">
        <v>210</v>
      </c>
      <c r="F61" s="297"/>
      <c r="G61" s="297"/>
      <c r="H61" s="297"/>
      <c r="I61" s="297"/>
      <c r="J61" s="297"/>
      <c r="K61" s="297"/>
      <c r="L61" s="297"/>
      <c r="M61" s="282"/>
      <c r="N61" s="298" t="s">
        <v>211</v>
      </c>
      <c r="O61" s="268"/>
      <c r="P61" s="57"/>
      <c r="Q61" s="286"/>
      <c r="R61" s="268"/>
      <c r="S61" s="57"/>
      <c r="T61" s="292"/>
      <c r="U61" s="265"/>
      <c r="V61" s="265"/>
      <c r="W61" s="299" t="s">
        <v>213</v>
      </c>
      <c r="X61" s="268"/>
      <c r="Y61" s="268"/>
      <c r="Z61" s="268"/>
      <c r="AA61" s="268"/>
      <c r="AB61" s="57"/>
      <c r="AC61" s="300"/>
      <c r="AD61" s="273"/>
      <c r="AE61" s="273"/>
      <c r="AF61" s="270"/>
      <c r="AG61" s="293"/>
    </row>
    <row r="62">
      <c r="A62" s="264"/>
      <c r="B62" s="265"/>
      <c r="C62" s="301" t="s">
        <v>214</v>
      </c>
      <c r="D62" s="372">
        <v>45909.0</v>
      </c>
      <c r="E62" s="303" t="s">
        <v>215</v>
      </c>
      <c r="F62" s="22"/>
      <c r="G62" s="28"/>
      <c r="H62" s="304" t="s">
        <v>216</v>
      </c>
      <c r="I62" s="297"/>
      <c r="J62" s="282"/>
      <c r="K62" s="304" t="s">
        <v>217</v>
      </c>
      <c r="L62" s="297"/>
      <c r="M62" s="282"/>
      <c r="N62" s="304" t="s">
        <v>218</v>
      </c>
      <c r="O62" s="297"/>
      <c r="P62" s="282"/>
      <c r="Q62" s="304" t="s">
        <v>219</v>
      </c>
      <c r="R62" s="297"/>
      <c r="S62" s="282"/>
      <c r="T62" s="265"/>
      <c r="U62" s="265"/>
      <c r="V62" s="265"/>
      <c r="W62" s="64"/>
      <c r="AB62" s="63"/>
      <c r="AF62" s="25"/>
      <c r="AG62" s="293"/>
    </row>
    <row r="63">
      <c r="A63" s="264"/>
      <c r="B63" s="305" t="s">
        <v>245</v>
      </c>
      <c r="C63" s="306" t="s">
        <v>221</v>
      </c>
      <c r="D63" s="306" t="s">
        <v>222</v>
      </c>
      <c r="E63" s="301" t="s">
        <v>223</v>
      </c>
      <c r="F63" s="301" t="s">
        <v>224</v>
      </c>
      <c r="G63" s="301" t="s">
        <v>66</v>
      </c>
      <c r="H63" s="301" t="s">
        <v>223</v>
      </c>
      <c r="I63" s="301" t="s">
        <v>224</v>
      </c>
      <c r="J63" s="301" t="s">
        <v>66</v>
      </c>
      <c r="K63" s="301" t="s">
        <v>223</v>
      </c>
      <c r="L63" s="301" t="s">
        <v>224</v>
      </c>
      <c r="M63" s="301" t="s">
        <v>66</v>
      </c>
      <c r="N63" s="301" t="s">
        <v>223</v>
      </c>
      <c r="O63" s="301" t="s">
        <v>224</v>
      </c>
      <c r="P63" s="301" t="s">
        <v>66</v>
      </c>
      <c r="Q63" s="301" t="s">
        <v>223</v>
      </c>
      <c r="R63" s="301" t="s">
        <v>224</v>
      </c>
      <c r="S63" s="301" t="s">
        <v>66</v>
      </c>
      <c r="T63" s="307" t="s">
        <v>225</v>
      </c>
      <c r="U63" s="421" t="s">
        <v>263</v>
      </c>
      <c r="V63" s="265"/>
      <c r="W63" s="275"/>
      <c r="X63" s="276"/>
      <c r="Y63" s="276"/>
      <c r="Z63" s="276"/>
      <c r="AA63" s="276"/>
      <c r="AB63" s="291"/>
      <c r="AC63" s="22"/>
      <c r="AD63" s="22"/>
      <c r="AE63" s="22"/>
      <c r="AF63" s="28"/>
      <c r="AG63" s="293"/>
    </row>
    <row r="64" ht="33.75" customHeight="1">
      <c r="A64" s="264"/>
      <c r="B64" s="308"/>
      <c r="C64" s="309">
        <v>1.0</v>
      </c>
      <c r="D64" s="382" t="s">
        <v>167</v>
      </c>
      <c r="E64" s="259">
        <v>12.0</v>
      </c>
      <c r="F64" s="312">
        <v>55.0</v>
      </c>
      <c r="G64" s="375"/>
      <c r="H64" s="259">
        <v>15.0</v>
      </c>
      <c r="I64" s="375">
        <v>55.0</v>
      </c>
      <c r="J64" s="317"/>
      <c r="K64" s="317"/>
      <c r="L64" s="317"/>
      <c r="M64" s="317"/>
      <c r="N64" s="317"/>
      <c r="O64" s="317"/>
      <c r="P64" s="317"/>
      <c r="Q64" s="438"/>
      <c r="R64" s="270"/>
      <c r="S64" s="317"/>
      <c r="T64" s="319">
        <f t="shared" ref="T64:T74" si="4">(E64*F64)+(H64*I64)+(K64*L64)+(N64*O64)+(Q64*R64)</f>
        <v>1485</v>
      </c>
      <c r="U64" s="422"/>
      <c r="V64" s="265"/>
      <c r="W64" s="320">
        <v>1.0</v>
      </c>
      <c r="X64" s="321">
        <v>2.0</v>
      </c>
      <c r="Y64" s="322">
        <v>3.0</v>
      </c>
      <c r="Z64" s="323">
        <v>4.0</v>
      </c>
      <c r="AA64" s="324">
        <v>5.0</v>
      </c>
      <c r="AB64" s="325">
        <v>6.0</v>
      </c>
      <c r="AC64" s="326">
        <v>7.0</v>
      </c>
      <c r="AD64" s="327">
        <v>8.0</v>
      </c>
      <c r="AE64" s="328">
        <v>9.0</v>
      </c>
      <c r="AF64" s="329">
        <v>10.0</v>
      </c>
      <c r="AG64" s="293"/>
    </row>
    <row r="65" ht="33.75" customHeight="1">
      <c r="A65" s="264"/>
      <c r="B65" s="308"/>
      <c r="C65" s="330">
        <v>2.0</v>
      </c>
      <c r="D65" s="358" t="s">
        <v>169</v>
      </c>
      <c r="E65" s="423">
        <v>12.0</v>
      </c>
      <c r="F65" s="333">
        <v>15.0</v>
      </c>
      <c r="G65" s="379"/>
      <c r="H65" s="423">
        <v>16.0</v>
      </c>
      <c r="I65" s="379">
        <v>10.0</v>
      </c>
      <c r="J65" s="339"/>
      <c r="K65" s="339"/>
      <c r="L65" s="339"/>
      <c r="M65" s="339"/>
      <c r="N65" s="339"/>
      <c r="O65" s="339"/>
      <c r="P65" s="339"/>
      <c r="Q65" s="336"/>
      <c r="R65" s="25"/>
      <c r="S65" s="339"/>
      <c r="T65" s="319">
        <f t="shared" si="4"/>
        <v>340</v>
      </c>
      <c r="U65" s="422"/>
      <c r="V65" s="265"/>
      <c r="W65" s="340" t="s">
        <v>227</v>
      </c>
      <c r="X65" s="268"/>
      <c r="Y65" s="268"/>
      <c r="Z65" s="268"/>
      <c r="AA65" s="268"/>
      <c r="AB65" s="57"/>
      <c r="AC65" s="300"/>
      <c r="AD65" s="273"/>
      <c r="AE65" s="273"/>
      <c r="AF65" s="270"/>
      <c r="AG65" s="293"/>
    </row>
    <row r="66" ht="33.75" customHeight="1">
      <c r="A66" s="264"/>
      <c r="B66" s="308"/>
      <c r="C66" s="309">
        <v>3.0</v>
      </c>
      <c r="D66" s="360" t="s">
        <v>170</v>
      </c>
      <c r="E66" s="259">
        <v>8.0</v>
      </c>
      <c r="F66" s="342">
        <v>80.0</v>
      </c>
      <c r="G66" s="383"/>
      <c r="H66" s="259">
        <v>8.0</v>
      </c>
      <c r="I66" s="383">
        <v>80.0</v>
      </c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19">
        <f t="shared" si="4"/>
        <v>1280</v>
      </c>
      <c r="U66" s="422"/>
      <c r="V66" s="265"/>
      <c r="W66" s="64"/>
      <c r="AB66" s="63"/>
      <c r="AF66" s="25"/>
      <c r="AG66" s="293"/>
    </row>
    <row r="67" ht="33.75" customHeight="1">
      <c r="A67" s="264"/>
      <c r="B67" s="308"/>
      <c r="C67" s="330">
        <v>4.0</v>
      </c>
      <c r="D67" s="358" t="s">
        <v>171</v>
      </c>
      <c r="E67" s="423">
        <v>10.0</v>
      </c>
      <c r="F67" s="333">
        <v>140.0</v>
      </c>
      <c r="G67" s="379"/>
      <c r="H67" s="423">
        <v>10.0</v>
      </c>
      <c r="I67" s="379">
        <v>140.0</v>
      </c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19">
        <f t="shared" si="4"/>
        <v>2800</v>
      </c>
      <c r="U67" s="422"/>
      <c r="V67" s="265"/>
      <c r="W67" s="275"/>
      <c r="X67" s="276"/>
      <c r="Y67" s="276"/>
      <c r="Z67" s="276"/>
      <c r="AA67" s="276"/>
      <c r="AB67" s="291"/>
      <c r="AC67" s="22"/>
      <c r="AD67" s="22"/>
      <c r="AE67" s="22"/>
      <c r="AF67" s="28"/>
      <c r="AG67" s="293"/>
    </row>
    <row r="68" ht="33.75" customHeight="1">
      <c r="A68" s="264"/>
      <c r="B68" s="308"/>
      <c r="C68" s="309">
        <v>5.0</v>
      </c>
      <c r="D68" s="382" t="s">
        <v>172</v>
      </c>
      <c r="E68" s="244">
        <v>12.0</v>
      </c>
      <c r="F68" s="342">
        <v>70.0</v>
      </c>
      <c r="G68" s="383"/>
      <c r="H68" s="244">
        <v>14.0</v>
      </c>
      <c r="I68" s="383">
        <v>70.0</v>
      </c>
      <c r="J68" s="344"/>
      <c r="K68" s="344"/>
      <c r="L68" s="344"/>
      <c r="M68" s="344"/>
      <c r="N68" s="344"/>
      <c r="O68" s="344"/>
      <c r="P68" s="344"/>
      <c r="Q68" s="318"/>
      <c r="R68" s="25"/>
      <c r="S68" s="344"/>
      <c r="T68" s="319">
        <f t="shared" si="4"/>
        <v>1820</v>
      </c>
      <c r="U68" s="422"/>
      <c r="V68" s="265"/>
      <c r="W68" s="347">
        <v>1.0</v>
      </c>
      <c r="X68" s="348">
        <v>2.0</v>
      </c>
      <c r="Y68" s="349">
        <v>3.0</v>
      </c>
      <c r="Z68" s="350">
        <v>4.0</v>
      </c>
      <c r="AA68" s="351">
        <v>5.0</v>
      </c>
      <c r="AB68" s="352">
        <v>6.0</v>
      </c>
      <c r="AC68" s="353">
        <v>7.0</v>
      </c>
      <c r="AD68" s="354">
        <v>8.0</v>
      </c>
      <c r="AE68" s="355">
        <v>9.0</v>
      </c>
      <c r="AF68" s="356">
        <v>10.0</v>
      </c>
      <c r="AG68" s="293"/>
    </row>
    <row r="69" ht="33.75" customHeight="1">
      <c r="A69" s="264"/>
      <c r="B69" s="308"/>
      <c r="C69" s="330">
        <v>6.0</v>
      </c>
      <c r="D69" s="358" t="s">
        <v>174</v>
      </c>
      <c r="E69" s="423">
        <v>10.0</v>
      </c>
      <c r="F69" s="333">
        <v>22.5</v>
      </c>
      <c r="G69" s="379"/>
      <c r="H69" s="423">
        <v>9.0</v>
      </c>
      <c r="I69" s="379">
        <v>22.5</v>
      </c>
      <c r="J69" s="335"/>
      <c r="K69" s="335"/>
      <c r="L69" s="335"/>
      <c r="M69" s="335"/>
      <c r="N69" s="335"/>
      <c r="O69" s="335"/>
      <c r="P69" s="335"/>
      <c r="Q69" s="335"/>
      <c r="R69" s="335"/>
      <c r="S69" s="335"/>
      <c r="T69" s="319">
        <f t="shared" si="4"/>
        <v>427.5</v>
      </c>
      <c r="U69" s="422"/>
      <c r="V69" s="265"/>
      <c r="W69" s="293"/>
      <c r="X69" s="293"/>
      <c r="Y69" s="293"/>
      <c r="Z69" s="293"/>
      <c r="AA69" s="293"/>
      <c r="AB69" s="293"/>
      <c r="AC69" s="293"/>
      <c r="AD69" s="293"/>
      <c r="AE69" s="293"/>
      <c r="AF69" s="293"/>
      <c r="AG69" s="293"/>
    </row>
    <row r="70" ht="33.75" customHeight="1">
      <c r="A70" s="264"/>
      <c r="B70" s="308"/>
      <c r="C70" s="309">
        <v>7.0</v>
      </c>
      <c r="D70" s="360"/>
      <c r="E70" s="417"/>
      <c r="F70" s="417"/>
      <c r="G70" s="420"/>
      <c r="H70" s="417"/>
      <c r="I70" s="417"/>
      <c r="J70" s="344"/>
      <c r="K70" s="311"/>
      <c r="L70" s="342"/>
      <c r="M70" s="318"/>
      <c r="N70" s="345"/>
      <c r="O70" s="346"/>
      <c r="P70" s="344"/>
      <c r="Q70" s="318"/>
      <c r="R70" s="346"/>
      <c r="S70" s="318"/>
      <c r="T70" s="319">
        <f t="shared" si="4"/>
        <v>0</v>
      </c>
      <c r="U70" s="422"/>
      <c r="V70" s="265"/>
      <c r="W70" s="357" t="s">
        <v>231</v>
      </c>
      <c r="X70" s="268"/>
      <c r="Y70" s="268"/>
      <c r="Z70" s="268"/>
      <c r="AA70" s="268"/>
      <c r="AB70" s="268"/>
      <c r="AC70" s="268"/>
      <c r="AD70" s="268"/>
      <c r="AE70" s="268"/>
      <c r="AF70" s="57"/>
      <c r="AG70" s="293"/>
    </row>
    <row r="71" ht="33.75" customHeight="1">
      <c r="A71" s="264"/>
      <c r="B71" s="308"/>
      <c r="C71" s="330">
        <v>8.0</v>
      </c>
      <c r="D71" s="358"/>
      <c r="E71" s="336"/>
      <c r="F71" s="338"/>
      <c r="G71" s="336"/>
      <c r="H71" s="337"/>
      <c r="I71" s="338"/>
      <c r="J71" s="339"/>
      <c r="K71" s="336"/>
      <c r="L71" s="338"/>
      <c r="M71" s="336"/>
      <c r="N71" s="337"/>
      <c r="O71" s="338"/>
      <c r="P71" s="339"/>
      <c r="Q71" s="336"/>
      <c r="R71" s="338"/>
      <c r="S71" s="336"/>
      <c r="T71" s="319">
        <f t="shared" si="4"/>
        <v>0</v>
      </c>
      <c r="U71" s="422"/>
      <c r="V71" s="265"/>
      <c r="W71" s="370"/>
      <c r="X71" s="273"/>
      <c r="Y71" s="273"/>
      <c r="Z71" s="273"/>
      <c r="AA71" s="273"/>
      <c r="AB71" s="273"/>
      <c r="AC71" s="273"/>
      <c r="AD71" s="273"/>
      <c r="AE71" s="273"/>
      <c r="AF71" s="270"/>
      <c r="AG71" s="293"/>
    </row>
    <row r="72" ht="33.75" customHeight="1">
      <c r="A72" s="264"/>
      <c r="B72" s="308"/>
      <c r="C72" s="309">
        <v>9.0</v>
      </c>
      <c r="D72" s="360"/>
      <c r="E72" s="318"/>
      <c r="F72" s="346"/>
      <c r="G72" s="318"/>
      <c r="H72" s="345"/>
      <c r="I72" s="346"/>
      <c r="J72" s="344"/>
      <c r="K72" s="318"/>
      <c r="L72" s="346"/>
      <c r="M72" s="318"/>
      <c r="N72" s="345"/>
      <c r="O72" s="346"/>
      <c r="P72" s="344"/>
      <c r="Q72" s="318"/>
      <c r="R72" s="346"/>
      <c r="S72" s="318"/>
      <c r="T72" s="319">
        <f t="shared" si="4"/>
        <v>0</v>
      </c>
      <c r="U72" s="422"/>
      <c r="V72" s="265"/>
      <c r="W72" s="90"/>
      <c r="AF72" s="25"/>
      <c r="AG72" s="293"/>
    </row>
    <row r="73" ht="33.75" customHeight="1">
      <c r="A73" s="264"/>
      <c r="B73" s="308"/>
      <c r="C73" s="330">
        <v>10.0</v>
      </c>
      <c r="D73" s="358"/>
      <c r="E73" s="336"/>
      <c r="F73" s="338"/>
      <c r="G73" s="336"/>
      <c r="H73" s="337"/>
      <c r="I73" s="338"/>
      <c r="J73" s="339"/>
      <c r="K73" s="336"/>
      <c r="L73" s="338"/>
      <c r="M73" s="336"/>
      <c r="N73" s="337"/>
      <c r="O73" s="338"/>
      <c r="P73" s="339"/>
      <c r="Q73" s="336"/>
      <c r="R73" s="338"/>
      <c r="S73" s="336"/>
      <c r="T73" s="319">
        <f t="shared" si="4"/>
        <v>0</v>
      </c>
      <c r="U73" s="422"/>
      <c r="V73" s="265"/>
      <c r="W73" s="90"/>
      <c r="AF73" s="25"/>
      <c r="AG73" s="293"/>
    </row>
    <row r="74" ht="33.75" customHeight="1">
      <c r="A74" s="264"/>
      <c r="B74" s="361"/>
      <c r="C74" s="362">
        <v>11.0</v>
      </c>
      <c r="D74" s="363"/>
      <c r="E74" s="364"/>
      <c r="F74" s="365"/>
      <c r="G74" s="364"/>
      <c r="H74" s="366"/>
      <c r="I74" s="365"/>
      <c r="J74" s="367"/>
      <c r="K74" s="364"/>
      <c r="L74" s="365"/>
      <c r="M74" s="364"/>
      <c r="N74" s="366"/>
      <c r="O74" s="365"/>
      <c r="P74" s="367"/>
      <c r="Q74" s="364"/>
      <c r="R74" s="365"/>
      <c r="S74" s="364"/>
      <c r="T74" s="319">
        <f t="shared" si="4"/>
        <v>0</v>
      </c>
      <c r="U74" s="422"/>
      <c r="V74" s="265"/>
      <c r="W74" s="27"/>
      <c r="X74" s="22"/>
      <c r="Y74" s="22"/>
      <c r="Z74" s="22"/>
      <c r="AA74" s="22"/>
      <c r="AB74" s="22"/>
      <c r="AC74" s="22"/>
      <c r="AD74" s="22"/>
      <c r="AE74" s="22"/>
      <c r="AF74" s="28"/>
      <c r="AG74" s="293"/>
    </row>
    <row r="75">
      <c r="A75" s="264"/>
      <c r="B75" s="368"/>
      <c r="C75" s="265"/>
      <c r="D75" s="265"/>
      <c r="E75" s="265"/>
      <c r="F75" s="265"/>
      <c r="G75" s="265"/>
      <c r="H75" s="265"/>
      <c r="I75" s="265"/>
      <c r="J75" s="292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93"/>
      <c r="X75" s="293"/>
      <c r="Y75" s="293"/>
      <c r="Z75" s="293"/>
      <c r="AA75" s="293"/>
      <c r="AB75" s="293"/>
      <c r="AC75" s="293"/>
      <c r="AD75" s="293"/>
      <c r="AE75" s="293"/>
      <c r="AF75" s="293"/>
      <c r="AG75" s="293"/>
    </row>
    <row r="76">
      <c r="A76" s="264"/>
      <c r="B76" s="265"/>
      <c r="C76" s="294" t="s">
        <v>209</v>
      </c>
      <c r="D76" s="295"/>
      <c r="E76" s="296" t="s">
        <v>257</v>
      </c>
      <c r="F76" s="297"/>
      <c r="G76" s="297"/>
      <c r="H76" s="297"/>
      <c r="I76" s="297"/>
      <c r="J76" s="297"/>
      <c r="K76" s="297"/>
      <c r="L76" s="297"/>
      <c r="M76" s="282"/>
      <c r="N76" s="298" t="s">
        <v>211</v>
      </c>
      <c r="O76" s="268"/>
      <c r="P76" s="57"/>
      <c r="Q76" s="286"/>
      <c r="R76" s="268"/>
      <c r="S76" s="57"/>
      <c r="T76" s="292"/>
      <c r="U76" s="265"/>
      <c r="V76" s="265"/>
      <c r="W76" s="299" t="s">
        <v>213</v>
      </c>
      <c r="X76" s="268"/>
      <c r="Y76" s="268"/>
      <c r="Z76" s="268"/>
      <c r="AA76" s="268"/>
      <c r="AB76" s="57"/>
      <c r="AC76" s="300"/>
      <c r="AD76" s="273"/>
      <c r="AE76" s="273"/>
      <c r="AF76" s="270"/>
      <c r="AG76" s="293"/>
    </row>
    <row r="77">
      <c r="A77" s="264"/>
      <c r="B77" s="265"/>
      <c r="C77" s="301" t="s">
        <v>214</v>
      </c>
      <c r="D77" s="302">
        <v>45911.0</v>
      </c>
      <c r="E77" s="303" t="s">
        <v>215</v>
      </c>
      <c r="F77" s="22"/>
      <c r="G77" s="28"/>
      <c r="H77" s="304" t="s">
        <v>216</v>
      </c>
      <c r="I77" s="297"/>
      <c r="J77" s="282"/>
      <c r="K77" s="304" t="s">
        <v>217</v>
      </c>
      <c r="L77" s="297"/>
      <c r="M77" s="282"/>
      <c r="N77" s="304" t="s">
        <v>218</v>
      </c>
      <c r="O77" s="297"/>
      <c r="P77" s="282"/>
      <c r="Q77" s="304" t="s">
        <v>219</v>
      </c>
      <c r="R77" s="297"/>
      <c r="S77" s="282"/>
      <c r="T77" s="265"/>
      <c r="U77" s="265"/>
      <c r="V77" s="265"/>
      <c r="W77" s="64"/>
      <c r="AB77" s="63"/>
      <c r="AF77" s="25"/>
      <c r="AG77" s="293"/>
    </row>
    <row r="78">
      <c r="A78" s="264"/>
      <c r="B78" s="305" t="s">
        <v>247</v>
      </c>
      <c r="C78" s="306" t="s">
        <v>221</v>
      </c>
      <c r="D78" s="406" t="s">
        <v>222</v>
      </c>
      <c r="E78" s="301" t="s">
        <v>223</v>
      </c>
      <c r="F78" s="301" t="s">
        <v>224</v>
      </c>
      <c r="G78" s="301" t="s">
        <v>66</v>
      </c>
      <c r="H78" s="301" t="s">
        <v>223</v>
      </c>
      <c r="I78" s="301" t="s">
        <v>224</v>
      </c>
      <c r="J78" s="301" t="s">
        <v>66</v>
      </c>
      <c r="K78" s="301" t="s">
        <v>223</v>
      </c>
      <c r="L78" s="301" t="s">
        <v>224</v>
      </c>
      <c r="M78" s="301" t="s">
        <v>66</v>
      </c>
      <c r="N78" s="301" t="s">
        <v>223</v>
      </c>
      <c r="O78" s="301" t="s">
        <v>224</v>
      </c>
      <c r="P78" s="301" t="s">
        <v>66</v>
      </c>
      <c r="Q78" s="301" t="s">
        <v>223</v>
      </c>
      <c r="R78" s="301" t="s">
        <v>224</v>
      </c>
      <c r="S78" s="301" t="s">
        <v>66</v>
      </c>
      <c r="T78" s="307" t="s">
        <v>225</v>
      </c>
      <c r="U78" s="421" t="s">
        <v>263</v>
      </c>
      <c r="V78" s="265"/>
      <c r="W78" s="275"/>
      <c r="X78" s="276"/>
      <c r="Y78" s="276"/>
      <c r="Z78" s="276"/>
      <c r="AA78" s="276"/>
      <c r="AB78" s="291"/>
      <c r="AC78" s="22"/>
      <c r="AD78" s="22"/>
      <c r="AE78" s="22"/>
      <c r="AF78" s="28"/>
      <c r="AG78" s="293"/>
    </row>
    <row r="79" ht="33.75" customHeight="1">
      <c r="A79" s="264"/>
      <c r="B79" s="308"/>
      <c r="C79" s="309">
        <v>1.0</v>
      </c>
      <c r="D79" s="373" t="s">
        <v>127</v>
      </c>
      <c r="E79" s="256">
        <v>16.0</v>
      </c>
      <c r="F79" s="312">
        <v>10.0</v>
      </c>
      <c r="G79" s="318"/>
      <c r="H79" s="313">
        <v>16.0</v>
      </c>
      <c r="I79" s="312">
        <v>10.0</v>
      </c>
      <c r="J79" s="317"/>
      <c r="K79" s="311"/>
      <c r="L79" s="312"/>
      <c r="M79" s="318"/>
      <c r="N79" s="315"/>
      <c r="O79" s="316"/>
      <c r="P79" s="317"/>
      <c r="Q79" s="318"/>
      <c r="R79" s="316"/>
      <c r="S79" s="318"/>
      <c r="T79" s="319">
        <f t="shared" ref="T79:T89" si="5">(E79*F79)+(H79*I79)+(K79*L79)+(N79*O79)+(Q79*R79)</f>
        <v>320</v>
      </c>
      <c r="U79" s="422"/>
      <c r="V79" s="265"/>
      <c r="W79" s="320">
        <v>1.0</v>
      </c>
      <c r="X79" s="321">
        <v>2.0</v>
      </c>
      <c r="Y79" s="322">
        <v>3.0</v>
      </c>
      <c r="Z79" s="323">
        <v>4.0</v>
      </c>
      <c r="AA79" s="324">
        <v>5.0</v>
      </c>
      <c r="AB79" s="325">
        <v>6.0</v>
      </c>
      <c r="AC79" s="326">
        <v>7.0</v>
      </c>
      <c r="AD79" s="327">
        <v>8.0</v>
      </c>
      <c r="AE79" s="328">
        <v>9.0</v>
      </c>
      <c r="AF79" s="329">
        <v>10.0</v>
      </c>
      <c r="AG79" s="293"/>
    </row>
    <row r="80" ht="33.75" customHeight="1">
      <c r="A80" s="264"/>
      <c r="B80" s="308"/>
      <c r="C80" s="330">
        <v>2.0</v>
      </c>
      <c r="D80" s="377" t="s">
        <v>178</v>
      </c>
      <c r="E80" s="423">
        <v>8.0</v>
      </c>
      <c r="F80" s="333">
        <v>50.0</v>
      </c>
      <c r="G80" s="336"/>
      <c r="H80" s="334">
        <v>10.0</v>
      </c>
      <c r="I80" s="333">
        <v>40.0</v>
      </c>
      <c r="J80" s="339"/>
      <c r="K80" s="332"/>
      <c r="L80" s="333"/>
      <c r="M80" s="336"/>
      <c r="N80" s="337"/>
      <c r="O80" s="338"/>
      <c r="P80" s="339"/>
      <c r="Q80" s="336"/>
      <c r="R80" s="338"/>
      <c r="S80" s="336"/>
      <c r="T80" s="319">
        <f t="shared" si="5"/>
        <v>800</v>
      </c>
      <c r="U80" s="422"/>
      <c r="V80" s="265"/>
      <c r="W80" s="340" t="s">
        <v>227</v>
      </c>
      <c r="X80" s="268"/>
      <c r="Y80" s="268"/>
      <c r="Z80" s="268"/>
      <c r="AA80" s="268"/>
      <c r="AB80" s="57"/>
      <c r="AC80" s="300"/>
      <c r="AD80" s="273"/>
      <c r="AE80" s="273"/>
      <c r="AF80" s="270"/>
      <c r="AG80" s="293"/>
    </row>
    <row r="81" ht="33.75" customHeight="1">
      <c r="A81" s="264"/>
      <c r="B81" s="308"/>
      <c r="C81" s="309">
        <v>3.0</v>
      </c>
      <c r="D81" s="382" t="s">
        <v>179</v>
      </c>
      <c r="E81" s="259">
        <v>10.0</v>
      </c>
      <c r="F81" s="383">
        <v>60.0</v>
      </c>
      <c r="G81" s="318"/>
      <c r="H81" s="343">
        <v>10.0</v>
      </c>
      <c r="I81" s="342">
        <v>60.0</v>
      </c>
      <c r="J81" s="344"/>
      <c r="K81" s="311"/>
      <c r="L81" s="342"/>
      <c r="M81" s="318"/>
      <c r="N81" s="345"/>
      <c r="O81" s="346"/>
      <c r="P81" s="344"/>
      <c r="Q81" s="318"/>
      <c r="R81" s="346"/>
      <c r="S81" s="318"/>
      <c r="T81" s="319">
        <f t="shared" si="5"/>
        <v>1200</v>
      </c>
      <c r="U81" s="422"/>
      <c r="V81" s="265"/>
      <c r="W81" s="64"/>
      <c r="AB81" s="63"/>
      <c r="AF81" s="25"/>
      <c r="AG81" s="293"/>
    </row>
    <row r="82" ht="33.75" customHeight="1">
      <c r="A82" s="264"/>
      <c r="B82" s="308"/>
      <c r="C82" s="330">
        <v>4.0</v>
      </c>
      <c r="D82" s="377" t="s">
        <v>180</v>
      </c>
      <c r="E82" s="423">
        <v>10.0</v>
      </c>
      <c r="F82" s="379">
        <v>30.0</v>
      </c>
      <c r="G82" s="336"/>
      <c r="H82" s="334">
        <v>10.0</v>
      </c>
      <c r="I82" s="333">
        <v>35.0</v>
      </c>
      <c r="J82" s="339"/>
      <c r="K82" s="332"/>
      <c r="L82" s="333"/>
      <c r="M82" s="336"/>
      <c r="N82" s="337"/>
      <c r="O82" s="338"/>
      <c r="P82" s="339"/>
      <c r="Q82" s="336"/>
      <c r="R82" s="338"/>
      <c r="S82" s="336"/>
      <c r="T82" s="319">
        <f t="shared" si="5"/>
        <v>650</v>
      </c>
      <c r="U82" s="422"/>
      <c r="V82" s="265"/>
      <c r="W82" s="275"/>
      <c r="X82" s="276"/>
      <c r="Y82" s="276"/>
      <c r="Z82" s="276"/>
      <c r="AA82" s="276"/>
      <c r="AB82" s="291"/>
      <c r="AC82" s="22"/>
      <c r="AD82" s="22"/>
      <c r="AE82" s="22"/>
      <c r="AF82" s="28"/>
      <c r="AG82" s="293"/>
    </row>
    <row r="83" ht="33.75" customHeight="1">
      <c r="A83" s="264"/>
      <c r="B83" s="308"/>
      <c r="C83" s="309">
        <v>5.0</v>
      </c>
      <c r="D83" s="382" t="s">
        <v>141</v>
      </c>
      <c r="E83" s="259">
        <v>10.0</v>
      </c>
      <c r="F83" s="383">
        <v>15.0</v>
      </c>
      <c r="G83" s="318"/>
      <c r="H83" s="343">
        <v>12.0</v>
      </c>
      <c r="I83" s="342">
        <v>15.0</v>
      </c>
      <c r="J83" s="344"/>
      <c r="K83" s="311"/>
      <c r="L83" s="342"/>
      <c r="M83" s="318"/>
      <c r="N83" s="345"/>
      <c r="O83" s="346"/>
      <c r="P83" s="344"/>
      <c r="Q83" s="318"/>
      <c r="R83" s="346"/>
      <c r="S83" s="318"/>
      <c r="T83" s="319">
        <f t="shared" si="5"/>
        <v>330</v>
      </c>
      <c r="U83" s="422"/>
      <c r="V83" s="265"/>
      <c r="W83" s="347">
        <v>1.0</v>
      </c>
      <c r="X83" s="348">
        <v>2.0</v>
      </c>
      <c r="Y83" s="349">
        <v>3.0</v>
      </c>
      <c r="Z83" s="350">
        <v>4.0</v>
      </c>
      <c r="AA83" s="351">
        <v>5.0</v>
      </c>
      <c r="AB83" s="352">
        <v>6.0</v>
      </c>
      <c r="AC83" s="353">
        <v>7.0</v>
      </c>
      <c r="AD83" s="354">
        <v>8.0</v>
      </c>
      <c r="AE83" s="355">
        <v>9.0</v>
      </c>
      <c r="AF83" s="356">
        <v>10.0</v>
      </c>
      <c r="AG83" s="293"/>
    </row>
    <row r="84" ht="33.75" customHeight="1">
      <c r="A84" s="264"/>
      <c r="B84" s="308"/>
      <c r="C84" s="330">
        <v>6.0</v>
      </c>
      <c r="D84" s="331" t="s">
        <v>139</v>
      </c>
      <c r="E84" s="423">
        <v>8.0</v>
      </c>
      <c r="F84" s="379">
        <v>40.0</v>
      </c>
      <c r="G84" s="336"/>
      <c r="H84" s="334">
        <v>10.0</v>
      </c>
      <c r="I84" s="333">
        <v>40.0</v>
      </c>
      <c r="J84" s="339"/>
      <c r="K84" s="332"/>
      <c r="L84" s="338"/>
      <c r="M84" s="336"/>
      <c r="N84" s="337"/>
      <c r="O84" s="338"/>
      <c r="P84" s="339"/>
      <c r="Q84" s="336"/>
      <c r="R84" s="338"/>
      <c r="S84" s="336"/>
      <c r="T84" s="319">
        <f t="shared" si="5"/>
        <v>720</v>
      </c>
      <c r="U84" s="422"/>
      <c r="V84" s="265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</row>
    <row r="85" ht="33.75" customHeight="1">
      <c r="A85" s="264"/>
      <c r="B85" s="308"/>
      <c r="C85" s="309">
        <v>7.0</v>
      </c>
      <c r="D85" s="382" t="s">
        <v>88</v>
      </c>
      <c r="E85" s="259">
        <v>12.0</v>
      </c>
      <c r="F85" s="383">
        <v>8.0</v>
      </c>
      <c r="G85" s="318"/>
      <c r="H85" s="343">
        <v>16.0</v>
      </c>
      <c r="I85" s="342">
        <v>8.0</v>
      </c>
      <c r="J85" s="344"/>
      <c r="K85" s="311"/>
      <c r="L85" s="342"/>
      <c r="M85" s="318"/>
      <c r="N85" s="345"/>
      <c r="O85" s="346"/>
      <c r="P85" s="344"/>
      <c r="Q85" s="318"/>
      <c r="R85" s="346"/>
      <c r="S85" s="318"/>
      <c r="T85" s="319">
        <f t="shared" si="5"/>
        <v>224</v>
      </c>
      <c r="U85" s="422"/>
      <c r="V85" s="265"/>
      <c r="W85" s="357" t="s">
        <v>231</v>
      </c>
      <c r="X85" s="268"/>
      <c r="Y85" s="268"/>
      <c r="Z85" s="268"/>
      <c r="AA85" s="268"/>
      <c r="AB85" s="268"/>
      <c r="AC85" s="268"/>
      <c r="AD85" s="268"/>
      <c r="AE85" s="268"/>
      <c r="AF85" s="57"/>
      <c r="AG85" s="293"/>
    </row>
    <row r="86" ht="33.75" customHeight="1">
      <c r="A86" s="264"/>
      <c r="B86" s="308"/>
      <c r="C86" s="330">
        <v>8.0</v>
      </c>
      <c r="D86" s="358"/>
      <c r="E86" s="336"/>
      <c r="F86" s="338"/>
      <c r="G86" s="336"/>
      <c r="H86" s="337"/>
      <c r="I86" s="338"/>
      <c r="J86" s="339"/>
      <c r="K86" s="336"/>
      <c r="L86" s="338"/>
      <c r="M86" s="336"/>
      <c r="N86" s="337"/>
      <c r="O86" s="338"/>
      <c r="P86" s="339"/>
      <c r="Q86" s="336"/>
      <c r="R86" s="338"/>
      <c r="S86" s="336"/>
      <c r="T86" s="319">
        <f t="shared" si="5"/>
        <v>0</v>
      </c>
      <c r="U86" s="422"/>
      <c r="V86" s="265"/>
      <c r="W86" s="370"/>
      <c r="X86" s="273"/>
      <c r="Y86" s="273"/>
      <c r="Z86" s="273"/>
      <c r="AA86" s="273"/>
      <c r="AB86" s="273"/>
      <c r="AC86" s="273"/>
      <c r="AD86" s="273"/>
      <c r="AE86" s="273"/>
      <c r="AF86" s="270"/>
      <c r="AG86" s="293"/>
    </row>
    <row r="87" ht="33.75" customHeight="1">
      <c r="A87" s="264"/>
      <c r="B87" s="308"/>
      <c r="C87" s="309">
        <v>9.0</v>
      </c>
      <c r="D87" s="360"/>
      <c r="E87" s="318"/>
      <c r="F87" s="346"/>
      <c r="G87" s="318"/>
      <c r="H87" s="345"/>
      <c r="I87" s="346"/>
      <c r="J87" s="344"/>
      <c r="K87" s="318"/>
      <c r="L87" s="346"/>
      <c r="M87" s="318"/>
      <c r="N87" s="345"/>
      <c r="O87" s="346"/>
      <c r="P87" s="344"/>
      <c r="Q87" s="318"/>
      <c r="R87" s="346"/>
      <c r="S87" s="318"/>
      <c r="T87" s="319">
        <f t="shared" si="5"/>
        <v>0</v>
      </c>
      <c r="U87" s="422"/>
      <c r="V87" s="265"/>
      <c r="W87" s="90"/>
      <c r="AF87" s="25"/>
      <c r="AG87" s="293"/>
    </row>
    <row r="88" ht="33.75" customHeight="1">
      <c r="A88" s="264"/>
      <c r="B88" s="308"/>
      <c r="C88" s="330">
        <v>10.0</v>
      </c>
      <c r="D88" s="358"/>
      <c r="E88" s="336"/>
      <c r="F88" s="338"/>
      <c r="G88" s="336"/>
      <c r="H88" s="337"/>
      <c r="I88" s="338"/>
      <c r="J88" s="339"/>
      <c r="K88" s="336"/>
      <c r="L88" s="338"/>
      <c r="M88" s="336"/>
      <c r="N88" s="337"/>
      <c r="O88" s="338"/>
      <c r="P88" s="339"/>
      <c r="Q88" s="336"/>
      <c r="R88" s="338"/>
      <c r="S88" s="336"/>
      <c r="T88" s="319">
        <f t="shared" si="5"/>
        <v>0</v>
      </c>
      <c r="U88" s="422"/>
      <c r="V88" s="265"/>
      <c r="W88" s="90"/>
      <c r="AF88" s="25"/>
      <c r="AG88" s="293"/>
    </row>
    <row r="89" ht="33.75" customHeight="1">
      <c r="A89" s="264"/>
      <c r="B89" s="361"/>
      <c r="C89" s="362">
        <v>11.0</v>
      </c>
      <c r="D89" s="363"/>
      <c r="E89" s="364"/>
      <c r="F89" s="365"/>
      <c r="G89" s="364"/>
      <c r="H89" s="366"/>
      <c r="I89" s="365"/>
      <c r="J89" s="367"/>
      <c r="K89" s="364"/>
      <c r="L89" s="365"/>
      <c r="M89" s="364"/>
      <c r="N89" s="366"/>
      <c r="O89" s="365"/>
      <c r="P89" s="367"/>
      <c r="Q89" s="364"/>
      <c r="R89" s="365"/>
      <c r="S89" s="364"/>
      <c r="T89" s="319">
        <f t="shared" si="5"/>
        <v>0</v>
      </c>
      <c r="U89" s="422"/>
      <c r="V89" s="265"/>
      <c r="W89" s="27"/>
      <c r="X89" s="22"/>
      <c r="Y89" s="22"/>
      <c r="Z89" s="22"/>
      <c r="AA89" s="22"/>
      <c r="AB89" s="22"/>
      <c r="AC89" s="22"/>
      <c r="AD89" s="22"/>
      <c r="AE89" s="22"/>
      <c r="AF89" s="28"/>
      <c r="AG89" s="265"/>
    </row>
    <row r="90">
      <c r="A90" s="265"/>
      <c r="B90" s="265"/>
      <c r="C90" s="265"/>
      <c r="D90" s="265"/>
      <c r="E90" s="265"/>
      <c r="F90" s="265"/>
      <c r="G90" s="265"/>
      <c r="H90" s="265"/>
      <c r="I90" s="265"/>
      <c r="J90" s="29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  <c r="AA90" s="265"/>
      <c r="AB90" s="265"/>
      <c r="AC90" s="265"/>
      <c r="AD90" s="265"/>
      <c r="AE90" s="265"/>
      <c r="AF90" s="265"/>
      <c r="AG90" s="265"/>
    </row>
    <row r="91">
      <c r="A91" s="265"/>
      <c r="B91" s="265"/>
      <c r="C91" s="294" t="s">
        <v>209</v>
      </c>
      <c r="D91" s="295"/>
      <c r="E91" s="296" t="s">
        <v>244</v>
      </c>
      <c r="F91" s="297"/>
      <c r="G91" s="297"/>
      <c r="H91" s="297"/>
      <c r="I91" s="297"/>
      <c r="J91" s="297"/>
      <c r="K91" s="297"/>
      <c r="L91" s="297"/>
      <c r="M91" s="282"/>
      <c r="N91" s="298" t="s">
        <v>211</v>
      </c>
      <c r="O91" s="268"/>
      <c r="P91" s="57"/>
      <c r="Q91" s="286"/>
      <c r="R91" s="268"/>
      <c r="S91" s="57"/>
      <c r="T91" s="292"/>
      <c r="U91" s="265"/>
      <c r="V91" s="265"/>
      <c r="W91" s="299" t="s">
        <v>213</v>
      </c>
      <c r="X91" s="268"/>
      <c r="Y91" s="268"/>
      <c r="Z91" s="268"/>
      <c r="AA91" s="268"/>
      <c r="AB91" s="57"/>
      <c r="AC91" s="300"/>
      <c r="AD91" s="273"/>
      <c r="AE91" s="273"/>
      <c r="AF91" s="270"/>
      <c r="AG91" s="265"/>
    </row>
    <row r="92">
      <c r="A92" s="402"/>
      <c r="B92" s="265"/>
      <c r="C92" s="301" t="s">
        <v>214</v>
      </c>
      <c r="D92" s="405">
        <v>45915.0</v>
      </c>
      <c r="E92" s="303" t="s">
        <v>215</v>
      </c>
      <c r="F92" s="22"/>
      <c r="G92" s="28"/>
      <c r="H92" s="304" t="s">
        <v>216</v>
      </c>
      <c r="I92" s="297"/>
      <c r="J92" s="282"/>
      <c r="K92" s="304" t="s">
        <v>217</v>
      </c>
      <c r="L92" s="297"/>
      <c r="M92" s="282"/>
      <c r="N92" s="304" t="s">
        <v>218</v>
      </c>
      <c r="O92" s="297"/>
      <c r="P92" s="282"/>
      <c r="Q92" s="304" t="s">
        <v>219</v>
      </c>
      <c r="R92" s="297"/>
      <c r="S92" s="282"/>
      <c r="T92" s="265"/>
      <c r="U92" s="265"/>
      <c r="V92" s="265"/>
      <c r="W92" s="64"/>
      <c r="AB92" s="63"/>
      <c r="AF92" s="25"/>
      <c r="AG92" s="402"/>
    </row>
    <row r="93">
      <c r="A93" s="402"/>
      <c r="B93" s="305" t="s">
        <v>249</v>
      </c>
      <c r="C93" s="306" t="s">
        <v>221</v>
      </c>
      <c r="D93" s="306" t="s">
        <v>222</v>
      </c>
      <c r="E93" s="301" t="s">
        <v>223</v>
      </c>
      <c r="F93" s="301" t="s">
        <v>224</v>
      </c>
      <c r="G93" s="301" t="s">
        <v>66</v>
      </c>
      <c r="H93" s="301" t="s">
        <v>223</v>
      </c>
      <c r="I93" s="301" t="s">
        <v>224</v>
      </c>
      <c r="J93" s="301" t="s">
        <v>66</v>
      </c>
      <c r="K93" s="301" t="s">
        <v>223</v>
      </c>
      <c r="L93" s="301" t="s">
        <v>224</v>
      </c>
      <c r="M93" s="301" t="s">
        <v>66</v>
      </c>
      <c r="N93" s="301" t="s">
        <v>223</v>
      </c>
      <c r="O93" s="301" t="s">
        <v>224</v>
      </c>
      <c r="P93" s="301" t="s">
        <v>66</v>
      </c>
      <c r="Q93" s="301" t="s">
        <v>223</v>
      </c>
      <c r="R93" s="301" t="s">
        <v>224</v>
      </c>
      <c r="S93" s="301" t="s">
        <v>66</v>
      </c>
      <c r="T93" s="307" t="s">
        <v>225</v>
      </c>
      <c r="U93" s="421" t="s">
        <v>263</v>
      </c>
      <c r="V93" s="265"/>
      <c r="W93" s="275"/>
      <c r="X93" s="276"/>
      <c r="Y93" s="276"/>
      <c r="Z93" s="276"/>
      <c r="AA93" s="276"/>
      <c r="AB93" s="291"/>
      <c r="AC93" s="22"/>
      <c r="AD93" s="22"/>
      <c r="AE93" s="22"/>
      <c r="AF93" s="28"/>
      <c r="AG93" s="402"/>
    </row>
    <row r="94" ht="33.75" customHeight="1">
      <c r="A94" s="264"/>
      <c r="B94" s="308"/>
      <c r="C94" s="309">
        <v>1.0</v>
      </c>
      <c r="D94" s="373" t="s">
        <v>167</v>
      </c>
      <c r="E94" s="374">
        <v>12.0</v>
      </c>
      <c r="F94" s="375">
        <v>60.0</v>
      </c>
      <c r="G94" s="384"/>
      <c r="H94" s="376">
        <v>14.0</v>
      </c>
      <c r="I94" s="375">
        <v>60.0</v>
      </c>
      <c r="J94" s="317"/>
      <c r="K94" s="311"/>
      <c r="L94" s="312"/>
      <c r="M94" s="318"/>
      <c r="N94" s="315"/>
      <c r="O94" s="316"/>
      <c r="P94" s="317"/>
      <c r="Q94" s="318"/>
      <c r="R94" s="316"/>
      <c r="S94" s="318"/>
      <c r="T94" s="319">
        <f t="shared" ref="T94:T104" si="6">(E94*F94)+(H94*I94)+(K94*L94)+(N94*O94)+(Q94*R94)</f>
        <v>1560</v>
      </c>
      <c r="U94" s="422"/>
      <c r="V94" s="265"/>
      <c r="W94" s="320">
        <v>1.0</v>
      </c>
      <c r="X94" s="321">
        <v>2.0</v>
      </c>
      <c r="Y94" s="322">
        <v>3.0</v>
      </c>
      <c r="Z94" s="323">
        <v>4.0</v>
      </c>
      <c r="AA94" s="324">
        <v>5.0</v>
      </c>
      <c r="AB94" s="325">
        <v>6.0</v>
      </c>
      <c r="AC94" s="326">
        <v>7.0</v>
      </c>
      <c r="AD94" s="327">
        <v>8.0</v>
      </c>
      <c r="AE94" s="328">
        <v>9.0</v>
      </c>
      <c r="AF94" s="329">
        <v>10.0</v>
      </c>
      <c r="AG94" s="37"/>
    </row>
    <row r="95" ht="33.75" customHeight="1">
      <c r="A95" s="264"/>
      <c r="B95" s="308"/>
      <c r="C95" s="330">
        <v>2.0</v>
      </c>
      <c r="D95" s="377" t="s">
        <v>189</v>
      </c>
      <c r="E95" s="378">
        <v>12.0</v>
      </c>
      <c r="F95" s="379">
        <v>25.0</v>
      </c>
      <c r="G95" s="380"/>
      <c r="H95" s="381">
        <v>10.0</v>
      </c>
      <c r="I95" s="379">
        <v>25.0</v>
      </c>
      <c r="J95" s="339"/>
      <c r="K95" s="332">
        <v>14.0</v>
      </c>
      <c r="L95" s="333">
        <v>25.0</v>
      </c>
      <c r="M95" s="336"/>
      <c r="N95" s="337"/>
      <c r="O95" s="338"/>
      <c r="P95" s="339"/>
      <c r="Q95" s="336"/>
      <c r="R95" s="338"/>
      <c r="S95" s="336"/>
      <c r="T95" s="319">
        <f t="shared" si="6"/>
        <v>900</v>
      </c>
      <c r="U95" s="422"/>
      <c r="V95" s="265"/>
      <c r="W95" s="340" t="s">
        <v>227</v>
      </c>
      <c r="X95" s="268"/>
      <c r="Y95" s="268"/>
      <c r="Z95" s="268"/>
      <c r="AA95" s="268"/>
      <c r="AB95" s="57"/>
      <c r="AC95" s="300"/>
      <c r="AD95" s="273"/>
      <c r="AE95" s="273"/>
      <c r="AF95" s="270"/>
      <c r="AG95" s="37"/>
    </row>
    <row r="96" ht="33.75" customHeight="1">
      <c r="A96" s="264"/>
      <c r="B96" s="308"/>
      <c r="C96" s="309">
        <v>3.0</v>
      </c>
      <c r="D96" s="382" t="s">
        <v>190</v>
      </c>
      <c r="E96" s="374">
        <v>12.0</v>
      </c>
      <c r="F96" s="383">
        <v>40.0</v>
      </c>
      <c r="G96" s="384"/>
      <c r="H96" s="385">
        <v>16.0</v>
      </c>
      <c r="I96" s="383">
        <v>45.0</v>
      </c>
      <c r="J96" s="344"/>
      <c r="K96" s="311"/>
      <c r="L96" s="342"/>
      <c r="M96" s="318"/>
      <c r="N96" s="345"/>
      <c r="O96" s="346"/>
      <c r="P96" s="344"/>
      <c r="Q96" s="318"/>
      <c r="R96" s="346"/>
      <c r="S96" s="318"/>
      <c r="T96" s="319">
        <f t="shared" si="6"/>
        <v>1200</v>
      </c>
      <c r="U96" s="422"/>
      <c r="V96" s="265"/>
      <c r="W96" s="64"/>
      <c r="AB96" s="63"/>
      <c r="AF96" s="25"/>
      <c r="AG96" s="37"/>
    </row>
    <row r="97" ht="33.75" customHeight="1">
      <c r="A97" s="264"/>
      <c r="B97" s="308"/>
      <c r="C97" s="330">
        <v>4.0</v>
      </c>
      <c r="D97" s="377" t="s">
        <v>191</v>
      </c>
      <c r="E97" s="378">
        <v>10.0</v>
      </c>
      <c r="F97" s="379">
        <v>120.0</v>
      </c>
      <c r="G97" s="380"/>
      <c r="H97" s="439">
        <v>9.0</v>
      </c>
      <c r="I97" s="379">
        <v>120.0</v>
      </c>
      <c r="J97" s="339"/>
      <c r="K97" s="332"/>
      <c r="L97" s="333"/>
      <c r="M97" s="336"/>
      <c r="N97" s="337"/>
      <c r="O97" s="338"/>
      <c r="P97" s="339"/>
      <c r="Q97" s="336"/>
      <c r="R97" s="338"/>
      <c r="S97" s="336"/>
      <c r="T97" s="319">
        <f t="shared" si="6"/>
        <v>2280</v>
      </c>
      <c r="U97" s="422"/>
      <c r="V97" s="265"/>
      <c r="W97" s="275"/>
      <c r="X97" s="276"/>
      <c r="Y97" s="276"/>
      <c r="Z97" s="276"/>
      <c r="AA97" s="276"/>
      <c r="AB97" s="291"/>
      <c r="AC97" s="22"/>
      <c r="AD97" s="22"/>
      <c r="AE97" s="22"/>
      <c r="AF97" s="28"/>
      <c r="AG97" s="37"/>
    </row>
    <row r="98" ht="33.75" customHeight="1">
      <c r="A98" s="264"/>
      <c r="B98" s="308"/>
      <c r="C98" s="309">
        <v>5.0</v>
      </c>
      <c r="D98" s="382" t="s">
        <v>192</v>
      </c>
      <c r="E98" s="374">
        <v>6.0</v>
      </c>
      <c r="F98" s="383">
        <v>80.0</v>
      </c>
      <c r="G98" s="384"/>
      <c r="H98" s="385">
        <v>8.0</v>
      </c>
      <c r="I98" s="383">
        <v>70.0</v>
      </c>
      <c r="J98" s="344"/>
      <c r="K98" s="311"/>
      <c r="L98" s="342"/>
      <c r="M98" s="318"/>
      <c r="N98" s="345"/>
      <c r="O98" s="346"/>
      <c r="P98" s="344"/>
      <c r="Q98" s="318"/>
      <c r="R98" s="346"/>
      <c r="S98" s="318"/>
      <c r="T98" s="319">
        <f t="shared" si="6"/>
        <v>1040</v>
      </c>
      <c r="U98" s="422"/>
      <c r="V98" s="265"/>
      <c r="W98" s="347">
        <v>1.0</v>
      </c>
      <c r="X98" s="348">
        <v>2.0</v>
      </c>
      <c r="Y98" s="349">
        <v>3.0</v>
      </c>
      <c r="Z98" s="350">
        <v>4.0</v>
      </c>
      <c r="AA98" s="351">
        <v>5.0</v>
      </c>
      <c r="AB98" s="352">
        <v>6.0</v>
      </c>
      <c r="AC98" s="353">
        <v>7.0</v>
      </c>
      <c r="AD98" s="354">
        <v>8.0</v>
      </c>
      <c r="AE98" s="355">
        <v>9.0</v>
      </c>
      <c r="AF98" s="356">
        <v>10.0</v>
      </c>
      <c r="AG98" s="37"/>
    </row>
    <row r="99" ht="33.75" customHeight="1">
      <c r="A99" s="264"/>
      <c r="B99" s="308"/>
      <c r="C99" s="330">
        <v>6.0</v>
      </c>
      <c r="D99" s="331" t="s">
        <v>115</v>
      </c>
      <c r="E99" s="378">
        <v>18.0</v>
      </c>
      <c r="F99" s="379">
        <v>90.0</v>
      </c>
      <c r="G99" s="380"/>
      <c r="H99" s="381">
        <v>14.0</v>
      </c>
      <c r="I99" s="379">
        <v>90.0</v>
      </c>
      <c r="J99" s="339"/>
      <c r="K99" s="332"/>
      <c r="L99" s="338"/>
      <c r="M99" s="336"/>
      <c r="N99" s="337"/>
      <c r="O99" s="338"/>
      <c r="P99" s="339"/>
      <c r="Q99" s="336"/>
      <c r="R99" s="338"/>
      <c r="S99" s="336"/>
      <c r="T99" s="319">
        <f t="shared" si="6"/>
        <v>2880</v>
      </c>
      <c r="U99" s="422"/>
      <c r="V99" s="265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37"/>
    </row>
    <row r="100" ht="33.75" customHeight="1">
      <c r="A100" s="264"/>
      <c r="B100" s="308"/>
      <c r="C100" s="309">
        <v>7.0</v>
      </c>
      <c r="D100" s="360"/>
      <c r="E100" s="417"/>
      <c r="F100" s="417"/>
      <c r="G100" s="420"/>
      <c r="H100" s="417"/>
      <c r="I100" s="417"/>
      <c r="J100" s="344"/>
      <c r="K100" s="311"/>
      <c r="L100" s="342"/>
      <c r="M100" s="318"/>
      <c r="N100" s="345"/>
      <c r="O100" s="346"/>
      <c r="P100" s="344"/>
      <c r="Q100" s="318"/>
      <c r="R100" s="346"/>
      <c r="S100" s="318"/>
      <c r="T100" s="319">
        <f t="shared" si="6"/>
        <v>0</v>
      </c>
      <c r="U100" s="422"/>
      <c r="V100" s="265"/>
      <c r="W100" s="357" t="s">
        <v>231</v>
      </c>
      <c r="X100" s="268"/>
      <c r="Y100" s="268"/>
      <c r="Z100" s="268"/>
      <c r="AA100" s="268"/>
      <c r="AB100" s="268"/>
      <c r="AC100" s="268"/>
      <c r="AD100" s="268"/>
      <c r="AE100" s="268"/>
      <c r="AF100" s="57"/>
      <c r="AG100" s="37"/>
    </row>
    <row r="101" ht="33.75" customHeight="1">
      <c r="A101" s="264"/>
      <c r="B101" s="308"/>
      <c r="C101" s="330">
        <v>8.0</v>
      </c>
      <c r="D101" s="358"/>
      <c r="E101" s="336"/>
      <c r="F101" s="338"/>
      <c r="G101" s="336"/>
      <c r="H101" s="337"/>
      <c r="I101" s="338"/>
      <c r="J101" s="339"/>
      <c r="K101" s="336"/>
      <c r="L101" s="338"/>
      <c r="M101" s="336"/>
      <c r="N101" s="337"/>
      <c r="O101" s="338"/>
      <c r="P101" s="339"/>
      <c r="Q101" s="336"/>
      <c r="R101" s="338"/>
      <c r="S101" s="336"/>
      <c r="T101" s="319">
        <f t="shared" si="6"/>
        <v>0</v>
      </c>
      <c r="U101" s="422"/>
      <c r="V101" s="265"/>
      <c r="W101" s="370"/>
      <c r="X101" s="273"/>
      <c r="Y101" s="273"/>
      <c r="Z101" s="273"/>
      <c r="AA101" s="273"/>
      <c r="AB101" s="273"/>
      <c r="AC101" s="273"/>
      <c r="AD101" s="273"/>
      <c r="AE101" s="273"/>
      <c r="AF101" s="270"/>
      <c r="AG101" s="37"/>
    </row>
    <row r="102" ht="33.75" customHeight="1">
      <c r="A102" s="264"/>
      <c r="B102" s="308"/>
      <c r="C102" s="309">
        <v>9.0</v>
      </c>
      <c r="D102" s="360"/>
      <c r="E102" s="318"/>
      <c r="F102" s="346"/>
      <c r="G102" s="318"/>
      <c r="H102" s="345"/>
      <c r="I102" s="346"/>
      <c r="J102" s="344"/>
      <c r="K102" s="318"/>
      <c r="L102" s="346"/>
      <c r="M102" s="318"/>
      <c r="N102" s="345"/>
      <c r="O102" s="346"/>
      <c r="P102" s="344"/>
      <c r="Q102" s="318"/>
      <c r="R102" s="346"/>
      <c r="S102" s="318"/>
      <c r="T102" s="319">
        <f t="shared" si="6"/>
        <v>0</v>
      </c>
      <c r="U102" s="422"/>
      <c r="V102" s="265"/>
      <c r="W102" s="90"/>
      <c r="AF102" s="25"/>
      <c r="AG102" s="37"/>
    </row>
    <row r="103" ht="33.75" customHeight="1">
      <c r="A103" s="264"/>
      <c r="B103" s="308"/>
      <c r="C103" s="330">
        <v>10.0</v>
      </c>
      <c r="D103" s="358"/>
      <c r="E103" s="336"/>
      <c r="F103" s="338"/>
      <c r="G103" s="336"/>
      <c r="H103" s="337"/>
      <c r="I103" s="338"/>
      <c r="J103" s="339"/>
      <c r="K103" s="336"/>
      <c r="L103" s="338"/>
      <c r="M103" s="336"/>
      <c r="N103" s="337"/>
      <c r="O103" s="338"/>
      <c r="P103" s="339"/>
      <c r="Q103" s="336"/>
      <c r="R103" s="338"/>
      <c r="S103" s="336"/>
      <c r="T103" s="319">
        <f t="shared" si="6"/>
        <v>0</v>
      </c>
      <c r="U103" s="422"/>
      <c r="V103" s="265"/>
      <c r="W103" s="90"/>
      <c r="AF103" s="25"/>
      <c r="AG103" s="37"/>
    </row>
    <row r="104" ht="33.75" customHeight="1">
      <c r="A104" s="264"/>
      <c r="B104" s="361"/>
      <c r="C104" s="362">
        <v>11.0</v>
      </c>
      <c r="D104" s="363"/>
      <c r="E104" s="364"/>
      <c r="F104" s="365"/>
      <c r="G104" s="364"/>
      <c r="H104" s="366"/>
      <c r="I104" s="365"/>
      <c r="J104" s="367"/>
      <c r="K104" s="364"/>
      <c r="L104" s="365"/>
      <c r="M104" s="364"/>
      <c r="N104" s="366"/>
      <c r="O104" s="365"/>
      <c r="P104" s="367"/>
      <c r="Q104" s="364"/>
      <c r="R104" s="365"/>
      <c r="S104" s="364"/>
      <c r="T104" s="319">
        <f t="shared" si="6"/>
        <v>0</v>
      </c>
      <c r="U104" s="422"/>
      <c r="V104" s="265"/>
      <c r="W104" s="27"/>
      <c r="X104" s="22"/>
      <c r="Y104" s="22"/>
      <c r="Z104" s="22"/>
      <c r="AA104" s="22"/>
      <c r="AB104" s="22"/>
      <c r="AC104" s="22"/>
      <c r="AD104" s="22"/>
      <c r="AE104" s="22"/>
      <c r="AF104" s="28"/>
      <c r="AG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</row>
    <row r="106">
      <c r="A106" s="37"/>
      <c r="B106" s="265"/>
      <c r="C106" s="294" t="s">
        <v>209</v>
      </c>
      <c r="D106" s="295"/>
      <c r="E106" s="296" t="s">
        <v>248</v>
      </c>
      <c r="F106" s="297"/>
      <c r="G106" s="297"/>
      <c r="H106" s="297"/>
      <c r="I106" s="297"/>
      <c r="J106" s="297"/>
      <c r="K106" s="297"/>
      <c r="L106" s="297"/>
      <c r="M106" s="282"/>
      <c r="N106" s="298" t="s">
        <v>211</v>
      </c>
      <c r="O106" s="268"/>
      <c r="P106" s="57"/>
      <c r="Q106" s="286"/>
      <c r="R106" s="268"/>
      <c r="S106" s="57"/>
      <c r="T106" s="292"/>
      <c r="U106" s="265"/>
      <c r="V106" s="265"/>
      <c r="W106" s="299" t="s">
        <v>213</v>
      </c>
      <c r="X106" s="268"/>
      <c r="Y106" s="268"/>
      <c r="Z106" s="268"/>
      <c r="AA106" s="268"/>
      <c r="AB106" s="57"/>
      <c r="AC106" s="300"/>
      <c r="AD106" s="273"/>
      <c r="AE106" s="273"/>
      <c r="AF106" s="270"/>
      <c r="AG106" s="37"/>
    </row>
    <row r="107">
      <c r="A107" s="37"/>
      <c r="B107" s="265"/>
      <c r="C107" s="301" t="s">
        <v>214</v>
      </c>
      <c r="D107" s="302">
        <v>45916.0</v>
      </c>
      <c r="E107" s="303" t="s">
        <v>215</v>
      </c>
      <c r="F107" s="22"/>
      <c r="G107" s="28"/>
      <c r="H107" s="304" t="s">
        <v>216</v>
      </c>
      <c r="I107" s="297"/>
      <c r="J107" s="282"/>
      <c r="K107" s="304" t="s">
        <v>217</v>
      </c>
      <c r="L107" s="297"/>
      <c r="M107" s="282"/>
      <c r="N107" s="304" t="s">
        <v>218</v>
      </c>
      <c r="O107" s="297"/>
      <c r="P107" s="282"/>
      <c r="Q107" s="304" t="s">
        <v>219</v>
      </c>
      <c r="R107" s="297"/>
      <c r="S107" s="282"/>
      <c r="T107" s="265"/>
      <c r="U107" s="265"/>
      <c r="V107" s="265"/>
      <c r="W107" s="64"/>
      <c r="AB107" s="63"/>
      <c r="AF107" s="25"/>
      <c r="AG107" s="37"/>
    </row>
    <row r="108">
      <c r="A108" s="37"/>
      <c r="B108" s="305" t="s">
        <v>251</v>
      </c>
      <c r="C108" s="306" t="s">
        <v>221</v>
      </c>
      <c r="D108" s="406" t="s">
        <v>222</v>
      </c>
      <c r="E108" s="301" t="s">
        <v>223</v>
      </c>
      <c r="F108" s="301" t="s">
        <v>224</v>
      </c>
      <c r="G108" s="301" t="s">
        <v>66</v>
      </c>
      <c r="H108" s="301" t="s">
        <v>223</v>
      </c>
      <c r="I108" s="301" t="s">
        <v>224</v>
      </c>
      <c r="J108" s="301" t="s">
        <v>66</v>
      </c>
      <c r="K108" s="301" t="s">
        <v>223</v>
      </c>
      <c r="L108" s="301" t="s">
        <v>224</v>
      </c>
      <c r="M108" s="301" t="s">
        <v>66</v>
      </c>
      <c r="N108" s="301" t="s">
        <v>223</v>
      </c>
      <c r="O108" s="301" t="s">
        <v>224</v>
      </c>
      <c r="P108" s="301" t="s">
        <v>66</v>
      </c>
      <c r="Q108" s="301" t="s">
        <v>223</v>
      </c>
      <c r="R108" s="301" t="s">
        <v>224</v>
      </c>
      <c r="S108" s="301" t="s">
        <v>66</v>
      </c>
      <c r="T108" s="307" t="s">
        <v>225</v>
      </c>
      <c r="U108" s="421" t="s">
        <v>263</v>
      </c>
      <c r="V108" s="265"/>
      <c r="W108" s="275"/>
      <c r="X108" s="276"/>
      <c r="Y108" s="276"/>
      <c r="Z108" s="276"/>
      <c r="AA108" s="276"/>
      <c r="AB108" s="291"/>
      <c r="AC108" s="22"/>
      <c r="AD108" s="22"/>
      <c r="AE108" s="22"/>
      <c r="AF108" s="28"/>
      <c r="AG108" s="37"/>
    </row>
    <row r="109">
      <c r="A109" s="37"/>
      <c r="B109" s="308"/>
      <c r="C109" s="309">
        <v>1.0</v>
      </c>
      <c r="D109" s="373" t="s">
        <v>130</v>
      </c>
      <c r="E109" s="259">
        <v>12.0</v>
      </c>
      <c r="F109" s="375">
        <v>12.0</v>
      </c>
      <c r="G109" s="384"/>
      <c r="H109" s="376">
        <v>11.0</v>
      </c>
      <c r="I109" s="375">
        <v>12.0</v>
      </c>
      <c r="J109" s="317"/>
      <c r="K109" s="311"/>
      <c r="L109" s="312"/>
      <c r="M109" s="318"/>
      <c r="N109" s="315"/>
      <c r="O109" s="316"/>
      <c r="P109" s="317"/>
      <c r="Q109" s="318"/>
      <c r="R109" s="316"/>
      <c r="S109" s="318"/>
      <c r="T109" s="319">
        <f t="shared" ref="T109:T112" si="7">(E109*F109)+(H109*I109)+(K109*L109)+(N109*O109)+(Q109*R109)</f>
        <v>276</v>
      </c>
      <c r="U109" s="422"/>
      <c r="V109" s="265"/>
      <c r="W109" s="320">
        <v>1.0</v>
      </c>
      <c r="X109" s="321">
        <v>2.0</v>
      </c>
      <c r="Y109" s="322">
        <v>3.0</v>
      </c>
      <c r="Z109" s="323">
        <v>4.0</v>
      </c>
      <c r="AA109" s="324">
        <v>5.0</v>
      </c>
      <c r="AB109" s="325">
        <v>6.0</v>
      </c>
      <c r="AC109" s="326">
        <v>7.0</v>
      </c>
      <c r="AD109" s="327">
        <v>8.0</v>
      </c>
      <c r="AE109" s="328">
        <v>9.0</v>
      </c>
      <c r="AF109" s="329">
        <v>10.0</v>
      </c>
      <c r="AG109" s="37"/>
    </row>
    <row r="110">
      <c r="A110" s="37"/>
      <c r="B110" s="308"/>
      <c r="C110" s="330">
        <v>2.0</v>
      </c>
      <c r="D110" s="377" t="s">
        <v>183</v>
      </c>
      <c r="E110" s="423">
        <v>10.0</v>
      </c>
      <c r="F110" s="379">
        <v>15.0</v>
      </c>
      <c r="G110" s="380"/>
      <c r="H110" s="381">
        <v>8.0</v>
      </c>
      <c r="I110" s="379">
        <v>20.0</v>
      </c>
      <c r="J110" s="339"/>
      <c r="K110" s="332"/>
      <c r="L110" s="333"/>
      <c r="M110" s="336"/>
      <c r="N110" s="337"/>
      <c r="O110" s="338"/>
      <c r="P110" s="440"/>
      <c r="Q110" s="336"/>
      <c r="R110" s="338"/>
      <c r="S110" s="336"/>
      <c r="T110" s="319">
        <f t="shared" si="7"/>
        <v>310</v>
      </c>
      <c r="U110" s="422"/>
      <c r="V110" s="265"/>
      <c r="W110" s="340" t="s">
        <v>227</v>
      </c>
      <c r="X110" s="268"/>
      <c r="Y110" s="268"/>
      <c r="Z110" s="268"/>
      <c r="AA110" s="268"/>
      <c r="AB110" s="57"/>
      <c r="AC110" s="300"/>
      <c r="AD110" s="273"/>
      <c r="AE110" s="273"/>
      <c r="AF110" s="270"/>
      <c r="AG110" s="37"/>
    </row>
    <row r="111">
      <c r="A111" s="37"/>
      <c r="B111" s="308"/>
      <c r="C111" s="309">
        <v>3.0</v>
      </c>
      <c r="D111" s="382" t="s">
        <v>131</v>
      </c>
      <c r="E111" s="259">
        <v>8.0</v>
      </c>
      <c r="F111" s="383">
        <v>55.0</v>
      </c>
      <c r="G111" s="384"/>
      <c r="H111" s="385">
        <v>7.0</v>
      </c>
      <c r="I111" s="383">
        <v>55.0</v>
      </c>
      <c r="J111" s="344"/>
      <c r="K111" s="311"/>
      <c r="L111" s="342"/>
      <c r="M111" s="318"/>
      <c r="N111" s="345"/>
      <c r="O111" s="346"/>
      <c r="P111" s="441"/>
      <c r="Q111" s="318"/>
      <c r="R111" s="346"/>
      <c r="S111" s="318"/>
      <c r="T111" s="319">
        <f t="shared" si="7"/>
        <v>825</v>
      </c>
      <c r="U111" s="422"/>
      <c r="V111" s="265"/>
      <c r="W111" s="64"/>
      <c r="AB111" s="63"/>
      <c r="AF111" s="25"/>
      <c r="AG111" s="37"/>
    </row>
    <row r="112">
      <c r="A112" s="37"/>
      <c r="B112" s="308"/>
      <c r="C112" s="330">
        <v>4.0</v>
      </c>
      <c r="D112" s="377" t="s">
        <v>106</v>
      </c>
      <c r="E112" s="423">
        <v>9.0</v>
      </c>
      <c r="F112" s="379">
        <v>80.0</v>
      </c>
      <c r="G112" s="380"/>
      <c r="H112" s="381">
        <v>8.0</v>
      </c>
      <c r="I112" s="379">
        <v>70.0</v>
      </c>
      <c r="J112" s="339"/>
      <c r="K112" s="332"/>
      <c r="L112" s="333"/>
      <c r="M112" s="336"/>
      <c r="N112" s="337"/>
      <c r="O112" s="338"/>
      <c r="P112" s="440"/>
      <c r="Q112" s="336"/>
      <c r="R112" s="338"/>
      <c r="S112" s="336"/>
      <c r="T112" s="319">
        <f t="shared" si="7"/>
        <v>1280</v>
      </c>
      <c r="U112" s="422"/>
      <c r="V112" s="265"/>
      <c r="W112" s="275"/>
      <c r="X112" s="276"/>
      <c r="Y112" s="276"/>
      <c r="Z112" s="276"/>
      <c r="AA112" s="276"/>
      <c r="AB112" s="291"/>
      <c r="AC112" s="22"/>
      <c r="AD112" s="22"/>
      <c r="AE112" s="22"/>
      <c r="AF112" s="28"/>
      <c r="AG112" s="37"/>
    </row>
    <row r="113">
      <c r="A113" s="37"/>
      <c r="B113" s="308"/>
      <c r="C113" s="309">
        <v>5.0</v>
      </c>
      <c r="D113" s="382" t="s">
        <v>185</v>
      </c>
      <c r="E113" s="244">
        <v>12.0</v>
      </c>
      <c r="F113" s="383">
        <v>30.0</v>
      </c>
      <c r="G113" s="384"/>
      <c r="H113" s="385">
        <v>14.0</v>
      </c>
      <c r="I113" s="383">
        <v>30.0</v>
      </c>
      <c r="J113" s="344"/>
      <c r="K113" s="311"/>
      <c r="L113" s="342"/>
      <c r="M113" s="318"/>
      <c r="N113" s="345"/>
      <c r="O113" s="346"/>
      <c r="P113" s="344"/>
      <c r="Q113" s="344"/>
      <c r="R113" s="344"/>
      <c r="S113" s="318"/>
      <c r="T113" s="319" t="str">
        <f t="shared" ref="T113:T115" si="8">(E113*F113)+(H113*I113)+(K113*L113)+(N113*O113)+(#REF!*R113)</f>
        <v>#REF!</v>
      </c>
      <c r="U113" s="422"/>
      <c r="V113" s="265"/>
      <c r="W113" s="347">
        <v>1.0</v>
      </c>
      <c r="X113" s="348">
        <v>2.0</v>
      </c>
      <c r="Y113" s="349">
        <v>3.0</v>
      </c>
      <c r="Z113" s="350">
        <v>4.0</v>
      </c>
      <c r="AA113" s="351">
        <v>5.0</v>
      </c>
      <c r="AB113" s="352">
        <v>6.0</v>
      </c>
      <c r="AC113" s="353">
        <v>7.0</v>
      </c>
      <c r="AD113" s="354">
        <v>8.0</v>
      </c>
      <c r="AE113" s="355">
        <v>9.0</v>
      </c>
      <c r="AF113" s="356">
        <v>10.0</v>
      </c>
      <c r="AG113" s="37"/>
    </row>
    <row r="114">
      <c r="A114" s="37"/>
      <c r="B114" s="308"/>
      <c r="C114" s="330">
        <v>6.0</v>
      </c>
      <c r="D114" s="331" t="s">
        <v>186</v>
      </c>
      <c r="E114" s="423">
        <v>12.0</v>
      </c>
      <c r="F114" s="379">
        <v>60.0</v>
      </c>
      <c r="G114" s="380"/>
      <c r="H114" s="381">
        <v>16.0</v>
      </c>
      <c r="I114" s="379">
        <v>60.0</v>
      </c>
      <c r="J114" s="339"/>
      <c r="K114" s="332"/>
      <c r="L114" s="338"/>
      <c r="M114" s="336"/>
      <c r="N114" s="337"/>
      <c r="O114" s="338"/>
      <c r="P114" s="440"/>
      <c r="Q114" s="339"/>
      <c r="R114" s="339"/>
      <c r="S114" s="336"/>
      <c r="T114" s="319" t="str">
        <f t="shared" si="8"/>
        <v>#REF!</v>
      </c>
      <c r="U114" s="422"/>
      <c r="V114" s="265"/>
      <c r="W114" s="293"/>
      <c r="X114" s="293"/>
      <c r="Y114" s="293"/>
      <c r="Z114" s="293"/>
      <c r="AA114" s="293"/>
      <c r="AB114" s="293"/>
      <c r="AC114" s="293"/>
      <c r="AD114" s="293"/>
      <c r="AE114" s="293"/>
      <c r="AF114" s="293"/>
      <c r="AG114" s="37"/>
    </row>
    <row r="115">
      <c r="A115" s="37"/>
      <c r="B115" s="308"/>
      <c r="C115" s="309">
        <v>7.0</v>
      </c>
      <c r="D115" s="382" t="s">
        <v>187</v>
      </c>
      <c r="E115" s="259">
        <v>12.0</v>
      </c>
      <c r="F115" s="342">
        <v>10.0</v>
      </c>
      <c r="G115" s="318"/>
      <c r="H115" s="343">
        <v>10.0</v>
      </c>
      <c r="I115" s="342">
        <v>15.0</v>
      </c>
      <c r="J115" s="344"/>
      <c r="K115" s="311"/>
      <c r="L115" s="342"/>
      <c r="M115" s="318"/>
      <c r="N115" s="345"/>
      <c r="O115" s="346"/>
      <c r="P115" s="344"/>
      <c r="Q115" s="344"/>
      <c r="R115" s="344"/>
      <c r="S115" s="318"/>
      <c r="T115" s="319" t="str">
        <f t="shared" si="8"/>
        <v>#REF!</v>
      </c>
      <c r="U115" s="422"/>
      <c r="V115" s="265"/>
      <c r="W115" s="357" t="s">
        <v>231</v>
      </c>
      <c r="X115" s="268"/>
      <c r="Y115" s="268"/>
      <c r="Z115" s="268"/>
      <c r="AA115" s="268"/>
      <c r="AB115" s="268"/>
      <c r="AC115" s="268"/>
      <c r="AD115" s="268"/>
      <c r="AE115" s="268"/>
      <c r="AF115" s="57"/>
      <c r="AG115" s="37"/>
    </row>
    <row r="116">
      <c r="A116" s="37"/>
      <c r="B116" s="308"/>
      <c r="C116" s="330">
        <v>8.0</v>
      </c>
      <c r="D116" s="331"/>
      <c r="E116" s="336"/>
      <c r="F116" s="338"/>
      <c r="G116" s="336"/>
      <c r="H116" s="337"/>
      <c r="I116" s="338"/>
      <c r="J116" s="339"/>
      <c r="K116" s="336"/>
      <c r="L116" s="338"/>
      <c r="M116" s="336"/>
      <c r="N116" s="337"/>
      <c r="O116" s="338"/>
      <c r="P116" s="339"/>
      <c r="Q116" s="336"/>
      <c r="R116" s="338"/>
      <c r="S116" s="336"/>
      <c r="T116" s="319">
        <f t="shared" ref="T116:T119" si="9">(E116*F116)+(H116*I116)+(K116*L116)+(N116*O116)+(Q116*R116)</f>
        <v>0</v>
      </c>
      <c r="U116" s="422"/>
      <c r="V116" s="265"/>
      <c r="W116" s="359"/>
      <c r="X116" s="273"/>
      <c r="Y116" s="273"/>
      <c r="Z116" s="273"/>
      <c r="AA116" s="273"/>
      <c r="AB116" s="273"/>
      <c r="AC116" s="273"/>
      <c r="AD116" s="273"/>
      <c r="AE116" s="273"/>
      <c r="AF116" s="270"/>
      <c r="AG116" s="37"/>
    </row>
    <row r="117">
      <c r="A117" s="37"/>
      <c r="B117" s="308"/>
      <c r="C117" s="309">
        <v>9.0</v>
      </c>
      <c r="D117" s="360"/>
      <c r="E117" s="318"/>
      <c r="F117" s="346"/>
      <c r="G117" s="318"/>
      <c r="H117" s="345"/>
      <c r="I117" s="346"/>
      <c r="J117" s="344"/>
      <c r="K117" s="318"/>
      <c r="L117" s="346"/>
      <c r="M117" s="318"/>
      <c r="N117" s="345"/>
      <c r="O117" s="346"/>
      <c r="P117" s="344"/>
      <c r="Q117" s="318"/>
      <c r="R117" s="346"/>
      <c r="S117" s="318"/>
      <c r="T117" s="319">
        <f t="shared" si="9"/>
        <v>0</v>
      </c>
      <c r="U117" s="422"/>
      <c r="V117" s="265"/>
      <c r="W117" s="90"/>
      <c r="AF117" s="25"/>
      <c r="AG117" s="37"/>
    </row>
    <row r="118">
      <c r="A118" s="37"/>
      <c r="B118" s="308"/>
      <c r="C118" s="330">
        <v>10.0</v>
      </c>
      <c r="D118" s="358"/>
      <c r="E118" s="336"/>
      <c r="F118" s="338"/>
      <c r="G118" s="336"/>
      <c r="H118" s="337"/>
      <c r="I118" s="338"/>
      <c r="J118" s="339"/>
      <c r="K118" s="336"/>
      <c r="L118" s="338"/>
      <c r="M118" s="336"/>
      <c r="N118" s="337"/>
      <c r="O118" s="338"/>
      <c r="P118" s="339"/>
      <c r="Q118" s="336"/>
      <c r="R118" s="338"/>
      <c r="S118" s="336"/>
      <c r="T118" s="319">
        <f t="shared" si="9"/>
        <v>0</v>
      </c>
      <c r="U118" s="422"/>
      <c r="V118" s="265"/>
      <c r="W118" s="90"/>
      <c r="AF118" s="25"/>
      <c r="AG118" s="37"/>
    </row>
    <row r="119">
      <c r="A119" s="37"/>
      <c r="B119" s="361"/>
      <c r="C119" s="362">
        <v>11.0</v>
      </c>
      <c r="D119" s="363"/>
      <c r="E119" s="364"/>
      <c r="F119" s="365"/>
      <c r="G119" s="364"/>
      <c r="H119" s="366"/>
      <c r="I119" s="365"/>
      <c r="J119" s="367"/>
      <c r="K119" s="364"/>
      <c r="L119" s="365"/>
      <c r="M119" s="364"/>
      <c r="N119" s="366"/>
      <c r="O119" s="365"/>
      <c r="P119" s="367"/>
      <c r="Q119" s="364"/>
      <c r="R119" s="365"/>
      <c r="S119" s="364"/>
      <c r="T119" s="319">
        <f t="shared" si="9"/>
        <v>0</v>
      </c>
      <c r="U119" s="422"/>
      <c r="V119" s="265"/>
      <c r="W119" s="27"/>
      <c r="X119" s="22"/>
      <c r="Y119" s="22"/>
      <c r="Z119" s="22"/>
      <c r="AA119" s="22"/>
      <c r="AB119" s="22"/>
      <c r="AC119" s="22"/>
      <c r="AD119" s="22"/>
      <c r="AE119" s="22"/>
      <c r="AF119" s="28"/>
      <c r="AG119" s="37"/>
    </row>
    <row r="120">
      <c r="A120" s="37"/>
      <c r="B120" s="368"/>
      <c r="C120" s="265"/>
      <c r="D120" s="265"/>
      <c r="E120" s="265"/>
      <c r="F120" s="265"/>
      <c r="G120" s="265"/>
      <c r="H120" s="265"/>
      <c r="I120" s="292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93"/>
      <c r="X120" s="293"/>
      <c r="Y120" s="293"/>
      <c r="Z120" s="293"/>
      <c r="AA120" s="293"/>
      <c r="AB120" s="293"/>
      <c r="AC120" s="293"/>
      <c r="AD120" s="293"/>
      <c r="AE120" s="293"/>
      <c r="AF120" s="293"/>
      <c r="AG120" s="37"/>
    </row>
    <row r="121">
      <c r="A121" s="37"/>
      <c r="B121" s="265"/>
      <c r="C121" s="294" t="s">
        <v>209</v>
      </c>
      <c r="D121" s="295"/>
      <c r="E121" s="296" t="s">
        <v>233</v>
      </c>
      <c r="F121" s="297"/>
      <c r="G121" s="297"/>
      <c r="H121" s="297"/>
      <c r="I121" s="297"/>
      <c r="J121" s="297"/>
      <c r="K121" s="297"/>
      <c r="L121" s="297"/>
      <c r="M121" s="282"/>
      <c r="N121" s="298" t="s">
        <v>211</v>
      </c>
      <c r="O121" s="268"/>
      <c r="P121" s="57"/>
      <c r="Q121" s="286"/>
      <c r="R121" s="268"/>
      <c r="S121" s="57"/>
      <c r="T121" s="292"/>
      <c r="U121" s="265"/>
      <c r="V121" s="265"/>
      <c r="W121" s="299" t="s">
        <v>213</v>
      </c>
      <c r="X121" s="268"/>
      <c r="Y121" s="268"/>
      <c r="Z121" s="268"/>
      <c r="AA121" s="268"/>
      <c r="AB121" s="57"/>
      <c r="AC121" s="300"/>
      <c r="AD121" s="273"/>
      <c r="AE121" s="273"/>
      <c r="AF121" s="270"/>
      <c r="AG121" s="37"/>
    </row>
    <row r="122">
      <c r="A122" s="37"/>
      <c r="B122" s="265"/>
      <c r="C122" s="301" t="s">
        <v>214</v>
      </c>
      <c r="D122" s="302">
        <v>45918.0</v>
      </c>
      <c r="E122" s="303" t="s">
        <v>215</v>
      </c>
      <c r="F122" s="22"/>
      <c r="G122" s="28"/>
      <c r="H122" s="304" t="s">
        <v>216</v>
      </c>
      <c r="I122" s="297"/>
      <c r="J122" s="282"/>
      <c r="K122" s="304" t="s">
        <v>217</v>
      </c>
      <c r="L122" s="297"/>
      <c r="M122" s="282"/>
      <c r="N122" s="304" t="s">
        <v>218</v>
      </c>
      <c r="O122" s="297"/>
      <c r="P122" s="282"/>
      <c r="Q122" s="304" t="s">
        <v>219</v>
      </c>
      <c r="R122" s="297"/>
      <c r="S122" s="282"/>
      <c r="T122" s="265"/>
      <c r="U122" s="265"/>
      <c r="V122" s="265"/>
      <c r="W122" s="64"/>
      <c r="AB122" s="63"/>
      <c r="AF122" s="25"/>
      <c r="AG122" s="37"/>
    </row>
    <row r="123">
      <c r="A123" s="37"/>
      <c r="B123" s="305" t="s">
        <v>255</v>
      </c>
      <c r="C123" s="306" t="s">
        <v>221</v>
      </c>
      <c r="D123" s="306" t="s">
        <v>222</v>
      </c>
      <c r="E123" s="301" t="s">
        <v>223</v>
      </c>
      <c r="F123" s="301" t="s">
        <v>224</v>
      </c>
      <c r="G123" s="301" t="s">
        <v>66</v>
      </c>
      <c r="H123" s="301" t="s">
        <v>223</v>
      </c>
      <c r="I123" s="301" t="s">
        <v>224</v>
      </c>
      <c r="J123" s="301" t="s">
        <v>66</v>
      </c>
      <c r="K123" s="301" t="s">
        <v>223</v>
      </c>
      <c r="L123" s="301" t="s">
        <v>224</v>
      </c>
      <c r="M123" s="301" t="s">
        <v>66</v>
      </c>
      <c r="N123" s="301" t="s">
        <v>223</v>
      </c>
      <c r="O123" s="301" t="s">
        <v>224</v>
      </c>
      <c r="P123" s="301" t="s">
        <v>66</v>
      </c>
      <c r="Q123" s="301" t="s">
        <v>223</v>
      </c>
      <c r="R123" s="301" t="s">
        <v>224</v>
      </c>
      <c r="S123" s="301" t="s">
        <v>66</v>
      </c>
      <c r="T123" s="307" t="s">
        <v>225</v>
      </c>
      <c r="U123" s="421" t="s">
        <v>263</v>
      </c>
      <c r="V123" s="265"/>
      <c r="W123" s="275"/>
      <c r="X123" s="276"/>
      <c r="Y123" s="276"/>
      <c r="Z123" s="276"/>
      <c r="AA123" s="276"/>
      <c r="AB123" s="291"/>
      <c r="AC123" s="22"/>
      <c r="AD123" s="22"/>
      <c r="AE123" s="22"/>
      <c r="AF123" s="28"/>
      <c r="AG123" s="37"/>
    </row>
    <row r="124">
      <c r="A124" s="37"/>
      <c r="B124" s="308"/>
      <c r="C124" s="309">
        <v>1.0</v>
      </c>
      <c r="D124" s="373" t="s">
        <v>104</v>
      </c>
      <c r="E124" s="374">
        <v>12.0</v>
      </c>
      <c r="F124" s="312">
        <v>8.0</v>
      </c>
      <c r="G124" s="384"/>
      <c r="H124" s="376">
        <v>15.0</v>
      </c>
      <c r="I124" s="312">
        <v>10.0</v>
      </c>
      <c r="J124" s="317"/>
      <c r="K124" s="311"/>
      <c r="L124" s="312"/>
      <c r="M124" s="318"/>
      <c r="N124" s="315"/>
      <c r="O124" s="316"/>
      <c r="P124" s="317"/>
      <c r="Q124" s="318"/>
      <c r="R124" s="316"/>
      <c r="S124" s="318"/>
      <c r="T124" s="319" t="str">
        <f>(E124*F124)+(H124*I124)+(O124*L124)+(N124*#REF!)+(#REF!*R124)</f>
        <v>#REF!</v>
      </c>
      <c r="U124" s="422"/>
      <c r="V124" s="265"/>
      <c r="W124" s="320">
        <v>1.0</v>
      </c>
      <c r="X124" s="321">
        <v>2.0</v>
      </c>
      <c r="Y124" s="322">
        <v>3.0</v>
      </c>
      <c r="Z124" s="323">
        <v>4.0</v>
      </c>
      <c r="AA124" s="324">
        <v>5.0</v>
      </c>
      <c r="AB124" s="325">
        <v>6.0</v>
      </c>
      <c r="AC124" s="326">
        <v>7.0</v>
      </c>
      <c r="AD124" s="327">
        <v>8.0</v>
      </c>
      <c r="AE124" s="328">
        <v>9.0</v>
      </c>
      <c r="AF124" s="329">
        <v>10.0</v>
      </c>
      <c r="AG124" s="37"/>
    </row>
    <row r="125">
      <c r="A125" s="37"/>
      <c r="B125" s="308"/>
      <c r="C125" s="330">
        <v>2.0</v>
      </c>
      <c r="D125" s="377" t="s">
        <v>145</v>
      </c>
      <c r="E125" s="378">
        <v>10.0</v>
      </c>
      <c r="F125" s="333">
        <v>80.0</v>
      </c>
      <c r="G125" s="380"/>
      <c r="H125" s="381">
        <v>8.0</v>
      </c>
      <c r="I125" s="333">
        <v>80.0</v>
      </c>
      <c r="J125" s="339"/>
      <c r="K125" s="332"/>
      <c r="L125" s="333"/>
      <c r="M125" s="336"/>
      <c r="N125" s="337"/>
      <c r="O125" s="338"/>
      <c r="P125" s="440"/>
      <c r="Q125" s="336"/>
      <c r="R125" s="338"/>
      <c r="S125" s="336"/>
      <c r="T125" s="319" t="str">
        <f t="shared" ref="T125:T126" si="10">(E125*F125)+(H125*I125)+(O125*L125)+(N125*#REF!)+(Q125*R125)</f>
        <v>#REF!</v>
      </c>
      <c r="U125" s="422"/>
      <c r="V125" s="265"/>
      <c r="W125" s="340" t="s">
        <v>227</v>
      </c>
      <c r="X125" s="268"/>
      <c r="Y125" s="268"/>
      <c r="Z125" s="268"/>
      <c r="AA125" s="268"/>
      <c r="AB125" s="57"/>
      <c r="AC125" s="300"/>
      <c r="AD125" s="273"/>
      <c r="AE125" s="273"/>
      <c r="AF125" s="270"/>
      <c r="AG125" s="37"/>
    </row>
    <row r="126">
      <c r="A126" s="37"/>
      <c r="B126" s="308"/>
      <c r="C126" s="309">
        <v>3.0</v>
      </c>
      <c r="D126" s="382" t="s">
        <v>146</v>
      </c>
      <c r="E126" s="374">
        <v>5.0</v>
      </c>
      <c r="F126" s="342">
        <v>26.0</v>
      </c>
      <c r="G126" s="384"/>
      <c r="H126" s="385">
        <v>5.0</v>
      </c>
      <c r="I126" s="342">
        <v>26.0</v>
      </c>
      <c r="J126" s="344"/>
      <c r="K126" s="311"/>
      <c r="L126" s="342"/>
      <c r="M126" s="318"/>
      <c r="N126" s="345"/>
      <c r="O126" s="346"/>
      <c r="P126" s="441"/>
      <c r="Q126" s="318"/>
      <c r="R126" s="346"/>
      <c r="S126" s="318"/>
      <c r="T126" s="319" t="str">
        <f t="shared" si="10"/>
        <v>#REF!</v>
      </c>
      <c r="U126" s="422"/>
      <c r="V126" s="265"/>
      <c r="W126" s="64"/>
      <c r="AB126" s="63"/>
      <c r="AF126" s="25"/>
      <c r="AG126" s="37"/>
    </row>
    <row r="127">
      <c r="A127" s="37"/>
      <c r="B127" s="308"/>
      <c r="C127" s="330">
        <v>4.0</v>
      </c>
      <c r="D127" s="377" t="s">
        <v>76</v>
      </c>
      <c r="E127" s="378">
        <v>10.0</v>
      </c>
      <c r="F127" s="333">
        <v>10.0</v>
      </c>
      <c r="G127" s="380"/>
      <c r="H127" s="381">
        <v>8.0</v>
      </c>
      <c r="I127" s="333">
        <v>10.0</v>
      </c>
      <c r="J127" s="339"/>
      <c r="K127" s="332"/>
      <c r="L127" s="333"/>
      <c r="M127" s="336"/>
      <c r="N127" s="337"/>
      <c r="O127" s="338"/>
      <c r="P127" s="440"/>
      <c r="Q127" s="336"/>
      <c r="R127" s="338"/>
      <c r="S127" s="336"/>
      <c r="T127" s="319" t="str">
        <f t="shared" ref="T127:T128" si="11">(E127*F127)+(H127*I127)+(O127*L127)+(N127*#REF!)+(#REF!*R127)</f>
        <v>#REF!</v>
      </c>
      <c r="U127" s="422"/>
      <c r="V127" s="265"/>
      <c r="W127" s="275"/>
      <c r="X127" s="276"/>
      <c r="Y127" s="276"/>
      <c r="Z127" s="276"/>
      <c r="AA127" s="276"/>
      <c r="AB127" s="291"/>
      <c r="AC127" s="22"/>
      <c r="AD127" s="22"/>
      <c r="AE127" s="22"/>
      <c r="AF127" s="28"/>
      <c r="AG127" s="37"/>
    </row>
    <row r="128">
      <c r="A128" s="37"/>
      <c r="B128" s="308"/>
      <c r="C128" s="309">
        <v>5.0</v>
      </c>
      <c r="D128" s="382" t="s">
        <v>147</v>
      </c>
      <c r="E128" s="374">
        <v>12.0</v>
      </c>
      <c r="F128" s="342">
        <v>5.0</v>
      </c>
      <c r="G128" s="384"/>
      <c r="H128" s="385">
        <v>14.0</v>
      </c>
      <c r="I128" s="342">
        <v>5.0</v>
      </c>
      <c r="J128" s="344"/>
      <c r="K128" s="311"/>
      <c r="L128" s="342"/>
      <c r="M128" s="318"/>
      <c r="N128" s="345"/>
      <c r="O128" s="346"/>
      <c r="P128" s="344"/>
      <c r="Q128" s="344"/>
      <c r="R128" s="344"/>
      <c r="S128" s="318"/>
      <c r="T128" s="319" t="str">
        <f t="shared" si="11"/>
        <v>#REF!</v>
      </c>
      <c r="U128" s="422"/>
      <c r="V128" s="265"/>
      <c r="W128" s="347">
        <v>1.0</v>
      </c>
      <c r="X128" s="348">
        <v>2.0</v>
      </c>
      <c r="Y128" s="349">
        <v>3.0</v>
      </c>
      <c r="Z128" s="350">
        <v>4.0</v>
      </c>
      <c r="AA128" s="351">
        <v>5.0</v>
      </c>
      <c r="AB128" s="352">
        <v>6.0</v>
      </c>
      <c r="AC128" s="353">
        <v>7.0</v>
      </c>
      <c r="AD128" s="354">
        <v>8.0</v>
      </c>
      <c r="AE128" s="355">
        <v>9.0</v>
      </c>
      <c r="AF128" s="356">
        <v>10.0</v>
      </c>
      <c r="AG128" s="37"/>
    </row>
    <row r="129">
      <c r="A129" s="37"/>
      <c r="B129" s="308"/>
      <c r="C129" s="330">
        <v>6.0</v>
      </c>
      <c r="D129" s="331" t="s">
        <v>149</v>
      </c>
      <c r="E129" s="378">
        <v>11.0</v>
      </c>
      <c r="F129" s="333">
        <v>22.5</v>
      </c>
      <c r="G129" s="380"/>
      <c r="H129" s="381">
        <v>10.0</v>
      </c>
      <c r="I129" s="333">
        <v>20.0</v>
      </c>
      <c r="J129" s="339"/>
      <c r="K129" s="332"/>
      <c r="L129" s="338"/>
      <c r="M129" s="336"/>
      <c r="N129" s="337"/>
      <c r="O129" s="338"/>
      <c r="P129" s="440"/>
      <c r="Q129" s="339"/>
      <c r="R129" s="339"/>
      <c r="S129" s="336"/>
      <c r="T129" s="319" t="str">
        <f>(E129*F129)+(H129*I129)+(O129*L129)+(N129*#REF!)+(Q129*R129)</f>
        <v>#REF!</v>
      </c>
      <c r="U129" s="422"/>
      <c r="V129" s="265"/>
      <c r="W129" s="293"/>
      <c r="X129" s="293"/>
      <c r="Y129" s="293"/>
      <c r="Z129" s="293"/>
      <c r="AA129" s="293"/>
      <c r="AB129" s="293"/>
      <c r="AC129" s="293"/>
      <c r="AD129" s="293"/>
      <c r="AE129" s="293"/>
      <c r="AF129" s="293"/>
      <c r="AG129" s="37"/>
    </row>
    <row r="130" ht="37.5" customHeight="1">
      <c r="A130" s="37"/>
      <c r="B130" s="308"/>
      <c r="C130" s="309">
        <v>7.0</v>
      </c>
      <c r="D130" s="382" t="s">
        <v>151</v>
      </c>
      <c r="E130" s="343">
        <v>16.0</v>
      </c>
      <c r="F130" s="342">
        <v>6.0</v>
      </c>
      <c r="G130" s="318"/>
      <c r="H130" s="343">
        <v>20.0</v>
      </c>
      <c r="I130" s="342">
        <v>6.0</v>
      </c>
      <c r="J130" s="344"/>
      <c r="K130" s="311"/>
      <c r="L130" s="342"/>
      <c r="M130" s="318"/>
      <c r="N130" s="345"/>
      <c r="O130" s="346"/>
      <c r="P130" s="344"/>
      <c r="Q130" s="344"/>
      <c r="R130" s="344"/>
      <c r="S130" s="318"/>
      <c r="T130" s="319" t="str">
        <f>(E130*F130)+(H130*I130)+(O130*L130)+(N130*#REF!)+(#REF!*R130)</f>
        <v>#REF!</v>
      </c>
      <c r="U130" s="422"/>
      <c r="V130" s="265"/>
      <c r="W130" s="357" t="s">
        <v>231</v>
      </c>
      <c r="X130" s="268"/>
      <c r="Y130" s="268"/>
      <c r="Z130" s="268"/>
      <c r="AA130" s="268"/>
      <c r="AB130" s="268"/>
      <c r="AC130" s="268"/>
      <c r="AD130" s="268"/>
      <c r="AE130" s="268"/>
      <c r="AF130" s="57"/>
      <c r="AG130" s="37"/>
    </row>
    <row r="131">
      <c r="A131" s="37"/>
      <c r="B131" s="308"/>
      <c r="C131" s="330">
        <v>8.0</v>
      </c>
      <c r="D131" s="358"/>
      <c r="E131" s="336"/>
      <c r="F131" s="338"/>
      <c r="G131" s="336"/>
      <c r="H131" s="337"/>
      <c r="I131" s="338"/>
      <c r="J131" s="339"/>
      <c r="K131" s="336"/>
      <c r="L131" s="338"/>
      <c r="M131" s="336"/>
      <c r="N131" s="337"/>
      <c r="O131" s="338"/>
      <c r="P131" s="339"/>
      <c r="Q131" s="336"/>
      <c r="R131" s="338"/>
      <c r="S131" s="336"/>
      <c r="T131" s="319">
        <f t="shared" ref="T131:T134" si="12">(E131*F131)+(H131*I131)+(K131*L131)+(N131*O131)+(Q131*R131)</f>
        <v>0</v>
      </c>
      <c r="U131" s="422"/>
      <c r="V131" s="265"/>
      <c r="W131" s="370"/>
      <c r="X131" s="273"/>
      <c r="Y131" s="273"/>
      <c r="Z131" s="273"/>
      <c r="AA131" s="273"/>
      <c r="AB131" s="273"/>
      <c r="AC131" s="273"/>
      <c r="AD131" s="273"/>
      <c r="AE131" s="273"/>
      <c r="AF131" s="270"/>
      <c r="AG131" s="37"/>
    </row>
    <row r="132">
      <c r="A132" s="37"/>
      <c r="B132" s="308"/>
      <c r="C132" s="309">
        <v>9.0</v>
      </c>
      <c r="D132" s="360"/>
      <c r="E132" s="318"/>
      <c r="F132" s="346"/>
      <c r="G132" s="318"/>
      <c r="H132" s="345"/>
      <c r="I132" s="346"/>
      <c r="J132" s="344"/>
      <c r="K132" s="318"/>
      <c r="L132" s="346"/>
      <c r="M132" s="318"/>
      <c r="N132" s="345"/>
      <c r="O132" s="346"/>
      <c r="P132" s="344"/>
      <c r="Q132" s="318"/>
      <c r="R132" s="346"/>
      <c r="S132" s="318"/>
      <c r="T132" s="319">
        <f t="shared" si="12"/>
        <v>0</v>
      </c>
      <c r="U132" s="422"/>
      <c r="V132" s="265"/>
      <c r="W132" s="90"/>
      <c r="AF132" s="25"/>
      <c r="AG132" s="37"/>
    </row>
    <row r="133">
      <c r="A133" s="37"/>
      <c r="B133" s="308"/>
      <c r="C133" s="330">
        <v>10.0</v>
      </c>
      <c r="D133" s="358"/>
      <c r="E133" s="336"/>
      <c r="F133" s="338"/>
      <c r="G133" s="336"/>
      <c r="H133" s="337"/>
      <c r="I133" s="338"/>
      <c r="J133" s="339"/>
      <c r="K133" s="336"/>
      <c r="L133" s="338"/>
      <c r="M133" s="336"/>
      <c r="N133" s="337"/>
      <c r="O133" s="338"/>
      <c r="P133" s="339"/>
      <c r="Q133" s="336"/>
      <c r="R133" s="338"/>
      <c r="S133" s="336"/>
      <c r="T133" s="319">
        <f t="shared" si="12"/>
        <v>0</v>
      </c>
      <c r="U133" s="422"/>
      <c r="V133" s="265"/>
      <c r="W133" s="90"/>
      <c r="AF133" s="25"/>
      <c r="AG133" s="37"/>
    </row>
    <row r="134">
      <c r="A134" s="37"/>
      <c r="B134" s="361"/>
      <c r="C134" s="362">
        <v>11.0</v>
      </c>
      <c r="D134" s="363"/>
      <c r="E134" s="364"/>
      <c r="F134" s="365"/>
      <c r="G134" s="364"/>
      <c r="H134" s="366"/>
      <c r="I134" s="365"/>
      <c r="J134" s="367"/>
      <c r="K134" s="364"/>
      <c r="L134" s="365"/>
      <c r="M134" s="364"/>
      <c r="N134" s="366"/>
      <c r="O134" s="365"/>
      <c r="P134" s="367"/>
      <c r="Q134" s="364"/>
      <c r="R134" s="365"/>
      <c r="S134" s="364"/>
      <c r="T134" s="319">
        <f t="shared" si="12"/>
        <v>0</v>
      </c>
      <c r="U134" s="422"/>
      <c r="V134" s="265"/>
      <c r="W134" s="27"/>
      <c r="X134" s="22"/>
      <c r="Y134" s="22"/>
      <c r="Z134" s="22"/>
      <c r="AA134" s="22"/>
      <c r="AB134" s="22"/>
      <c r="AC134" s="22"/>
      <c r="AD134" s="22"/>
      <c r="AE134" s="22"/>
      <c r="AF134" s="28"/>
      <c r="AG134" s="37"/>
    </row>
    <row r="135">
      <c r="A135" s="37"/>
      <c r="B135" s="368"/>
      <c r="C135" s="265"/>
      <c r="D135" s="265"/>
      <c r="E135" s="265"/>
      <c r="F135" s="265"/>
      <c r="G135" s="265"/>
      <c r="H135" s="265"/>
      <c r="I135" s="265"/>
      <c r="J135" s="265"/>
      <c r="K135" s="292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93"/>
      <c r="X135" s="293"/>
      <c r="Y135" s="293"/>
      <c r="Z135" s="293"/>
      <c r="AA135" s="293"/>
      <c r="AB135" s="293"/>
      <c r="AC135" s="293"/>
      <c r="AD135" s="371"/>
      <c r="AE135" s="293"/>
      <c r="AF135" s="293"/>
      <c r="AG135" s="37"/>
    </row>
    <row r="136">
      <c r="A136" s="37"/>
      <c r="B136" s="368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93"/>
      <c r="X136" s="293"/>
      <c r="Y136" s="293"/>
      <c r="Z136" s="293"/>
      <c r="AA136" s="293"/>
      <c r="AB136" s="293"/>
      <c r="AC136" s="293"/>
      <c r="AD136" s="293"/>
      <c r="AE136" s="293"/>
      <c r="AF136" s="293"/>
      <c r="AG136" s="37"/>
    </row>
    <row r="137">
      <c r="A137" s="37"/>
      <c r="B137" s="265"/>
      <c r="C137" s="294" t="s">
        <v>209</v>
      </c>
      <c r="D137" s="295"/>
      <c r="E137" s="296" t="s">
        <v>210</v>
      </c>
      <c r="F137" s="297"/>
      <c r="G137" s="297"/>
      <c r="H137" s="297"/>
      <c r="I137" s="297"/>
      <c r="J137" s="297"/>
      <c r="K137" s="297"/>
      <c r="L137" s="297"/>
      <c r="M137" s="282"/>
      <c r="N137" s="298" t="s">
        <v>211</v>
      </c>
      <c r="O137" s="268"/>
      <c r="P137" s="57"/>
      <c r="Q137" s="286"/>
      <c r="R137" s="268"/>
      <c r="S137" s="57"/>
      <c r="T137" s="292"/>
      <c r="U137" s="265"/>
      <c r="V137" s="265"/>
      <c r="W137" s="299" t="s">
        <v>213</v>
      </c>
      <c r="X137" s="268"/>
      <c r="Y137" s="268"/>
      <c r="Z137" s="268"/>
      <c r="AA137" s="268"/>
      <c r="AB137" s="57"/>
      <c r="AC137" s="300"/>
      <c r="AD137" s="273"/>
      <c r="AE137" s="273"/>
      <c r="AF137" s="270"/>
      <c r="AG137" s="37"/>
    </row>
    <row r="138">
      <c r="A138" s="37"/>
      <c r="B138" s="265"/>
      <c r="C138" s="301" t="s">
        <v>214</v>
      </c>
      <c r="D138" s="372">
        <v>45920.0</v>
      </c>
      <c r="E138" s="303" t="s">
        <v>215</v>
      </c>
      <c r="F138" s="22"/>
      <c r="G138" s="28"/>
      <c r="H138" s="304" t="s">
        <v>216</v>
      </c>
      <c r="I138" s="297"/>
      <c r="J138" s="282"/>
      <c r="K138" s="304" t="s">
        <v>217</v>
      </c>
      <c r="L138" s="297"/>
      <c r="M138" s="282"/>
      <c r="N138" s="304" t="s">
        <v>218</v>
      </c>
      <c r="O138" s="297"/>
      <c r="P138" s="282"/>
      <c r="Q138" s="304" t="s">
        <v>219</v>
      </c>
      <c r="R138" s="297"/>
      <c r="S138" s="282"/>
      <c r="T138" s="265"/>
      <c r="U138" s="265"/>
      <c r="V138" s="265"/>
      <c r="W138" s="64"/>
      <c r="AB138" s="63"/>
      <c r="AF138" s="25"/>
      <c r="AG138" s="37"/>
    </row>
    <row r="139">
      <c r="A139" s="37"/>
      <c r="B139" s="305" t="s">
        <v>256</v>
      </c>
      <c r="C139" s="306" t="s">
        <v>221</v>
      </c>
      <c r="D139" s="306" t="s">
        <v>222</v>
      </c>
      <c r="E139" s="301" t="s">
        <v>223</v>
      </c>
      <c r="F139" s="301" t="s">
        <v>224</v>
      </c>
      <c r="G139" s="301" t="s">
        <v>66</v>
      </c>
      <c r="H139" s="301" t="s">
        <v>223</v>
      </c>
      <c r="I139" s="301" t="s">
        <v>224</v>
      </c>
      <c r="J139" s="301" t="s">
        <v>66</v>
      </c>
      <c r="K139" s="301" t="s">
        <v>223</v>
      </c>
      <c r="L139" s="301" t="s">
        <v>224</v>
      </c>
      <c r="M139" s="301" t="s">
        <v>66</v>
      </c>
      <c r="N139" s="301" t="s">
        <v>223</v>
      </c>
      <c r="O139" s="301" t="s">
        <v>224</v>
      </c>
      <c r="P139" s="301" t="s">
        <v>66</v>
      </c>
      <c r="Q139" s="301" t="s">
        <v>223</v>
      </c>
      <c r="R139" s="301" t="s">
        <v>224</v>
      </c>
      <c r="S139" s="301" t="s">
        <v>66</v>
      </c>
      <c r="T139" s="307" t="s">
        <v>225</v>
      </c>
      <c r="U139" s="421" t="s">
        <v>263</v>
      </c>
      <c r="V139" s="265"/>
      <c r="W139" s="275"/>
      <c r="X139" s="276"/>
      <c r="Y139" s="276"/>
      <c r="Z139" s="276"/>
      <c r="AA139" s="276"/>
      <c r="AB139" s="291"/>
      <c r="AC139" s="22"/>
      <c r="AD139" s="22"/>
      <c r="AE139" s="22"/>
      <c r="AF139" s="28"/>
      <c r="AG139" s="37"/>
    </row>
    <row r="140">
      <c r="A140" s="37"/>
      <c r="B140" s="308"/>
      <c r="C140" s="309">
        <v>1.0</v>
      </c>
      <c r="D140" s="382" t="s">
        <v>167</v>
      </c>
      <c r="E140" s="259">
        <v>16.0</v>
      </c>
      <c r="F140" s="312">
        <v>50.0</v>
      </c>
      <c r="G140" s="375"/>
      <c r="H140" s="259">
        <v>20.0</v>
      </c>
      <c r="I140" s="375">
        <v>50.0</v>
      </c>
      <c r="J140" s="317"/>
      <c r="K140" s="311"/>
      <c r="L140" s="312"/>
      <c r="M140" s="318"/>
      <c r="N140" s="315"/>
      <c r="O140" s="316"/>
      <c r="P140" s="317"/>
      <c r="Q140" s="318"/>
      <c r="R140" s="316"/>
      <c r="S140" s="318"/>
      <c r="T140" s="319">
        <f t="shared" ref="T140:T150" si="13">(E140*F140)+(H140*I140)+(K140*L140)+(N140*O140)+(Q140*R140)</f>
        <v>1800</v>
      </c>
      <c r="U140" s="422"/>
      <c r="V140" s="265"/>
      <c r="W140" s="320">
        <v>1.0</v>
      </c>
      <c r="X140" s="321">
        <v>2.0</v>
      </c>
      <c r="Y140" s="322">
        <v>3.0</v>
      </c>
      <c r="Z140" s="323">
        <v>4.0</v>
      </c>
      <c r="AA140" s="324">
        <v>5.0</v>
      </c>
      <c r="AB140" s="325">
        <v>6.0</v>
      </c>
      <c r="AC140" s="326">
        <v>7.0</v>
      </c>
      <c r="AD140" s="327">
        <v>8.0</v>
      </c>
      <c r="AE140" s="328">
        <v>9.0</v>
      </c>
      <c r="AF140" s="329">
        <v>10.0</v>
      </c>
      <c r="AG140" s="37"/>
    </row>
    <row r="141">
      <c r="A141" s="37"/>
      <c r="B141" s="308"/>
      <c r="C141" s="330">
        <v>2.0</v>
      </c>
      <c r="D141" s="358" t="s">
        <v>169</v>
      </c>
      <c r="E141" s="423">
        <v>14.0</v>
      </c>
      <c r="F141" s="333">
        <v>12.5</v>
      </c>
      <c r="G141" s="379"/>
      <c r="H141" s="423">
        <v>18.0</v>
      </c>
      <c r="I141" s="379">
        <v>12.5</v>
      </c>
      <c r="J141" s="339"/>
      <c r="K141" s="332"/>
      <c r="L141" s="333"/>
      <c r="M141" s="336"/>
      <c r="N141" s="337"/>
      <c r="O141" s="338"/>
      <c r="P141" s="440"/>
      <c r="Q141" s="336"/>
      <c r="R141" s="338"/>
      <c r="S141" s="336"/>
      <c r="T141" s="319">
        <f t="shared" si="13"/>
        <v>400</v>
      </c>
      <c r="U141" s="422"/>
      <c r="V141" s="265"/>
      <c r="W141" s="340" t="s">
        <v>227</v>
      </c>
      <c r="X141" s="268"/>
      <c r="Y141" s="268"/>
      <c r="Z141" s="268"/>
      <c r="AA141" s="268"/>
      <c r="AB141" s="57"/>
      <c r="AC141" s="300"/>
      <c r="AD141" s="273"/>
      <c r="AE141" s="273"/>
      <c r="AF141" s="270"/>
      <c r="AG141" s="37"/>
    </row>
    <row r="142">
      <c r="A142" s="37"/>
      <c r="B142" s="308"/>
      <c r="C142" s="309">
        <v>3.0</v>
      </c>
      <c r="D142" s="360" t="s">
        <v>170</v>
      </c>
      <c r="E142" s="259">
        <v>8.0</v>
      </c>
      <c r="F142" s="342">
        <v>80.0</v>
      </c>
      <c r="G142" s="383"/>
      <c r="H142" s="259">
        <v>8.0</v>
      </c>
      <c r="I142" s="383">
        <v>80.0</v>
      </c>
      <c r="J142" s="344"/>
      <c r="K142" s="311"/>
      <c r="L142" s="342"/>
      <c r="M142" s="318"/>
      <c r="N142" s="345"/>
      <c r="O142" s="346"/>
      <c r="P142" s="441"/>
      <c r="Q142" s="318"/>
      <c r="R142" s="346"/>
      <c r="S142" s="318"/>
      <c r="T142" s="319">
        <f t="shared" si="13"/>
        <v>1280</v>
      </c>
      <c r="U142" s="422"/>
      <c r="V142" s="265"/>
      <c r="W142" s="64"/>
      <c r="AB142" s="63"/>
      <c r="AF142" s="25"/>
      <c r="AG142" s="37"/>
    </row>
    <row r="143">
      <c r="A143" s="37"/>
      <c r="B143" s="308"/>
      <c r="C143" s="330">
        <v>4.0</v>
      </c>
      <c r="D143" s="358" t="s">
        <v>171</v>
      </c>
      <c r="E143" s="423">
        <v>10.0</v>
      </c>
      <c r="F143" s="333">
        <v>140.0</v>
      </c>
      <c r="G143" s="379"/>
      <c r="H143" s="423">
        <v>10.0</v>
      </c>
      <c r="I143" s="379">
        <v>140.0</v>
      </c>
      <c r="J143" s="339"/>
      <c r="K143" s="332"/>
      <c r="L143" s="333"/>
      <c r="M143" s="336"/>
      <c r="N143" s="337"/>
      <c r="O143" s="338"/>
      <c r="P143" s="440"/>
      <c r="Q143" s="336"/>
      <c r="R143" s="338"/>
      <c r="S143" s="336"/>
      <c r="T143" s="319">
        <f t="shared" si="13"/>
        <v>2800</v>
      </c>
      <c r="U143" s="422"/>
      <c r="V143" s="265"/>
      <c r="W143" s="275"/>
      <c r="X143" s="276"/>
      <c r="Y143" s="276"/>
      <c r="Z143" s="276"/>
      <c r="AA143" s="276"/>
      <c r="AB143" s="291"/>
      <c r="AC143" s="22"/>
      <c r="AD143" s="22"/>
      <c r="AE143" s="22"/>
      <c r="AF143" s="28"/>
      <c r="AG143" s="37"/>
    </row>
    <row r="144">
      <c r="A144" s="37"/>
      <c r="B144" s="308"/>
      <c r="C144" s="309">
        <v>5.0</v>
      </c>
      <c r="D144" s="382" t="s">
        <v>172</v>
      </c>
      <c r="E144" s="244">
        <v>12.0</v>
      </c>
      <c r="F144" s="342">
        <v>70.0</v>
      </c>
      <c r="G144" s="383"/>
      <c r="H144" s="244">
        <v>14.0</v>
      </c>
      <c r="I144" s="383">
        <v>70.0</v>
      </c>
      <c r="J144" s="344"/>
      <c r="K144" s="311"/>
      <c r="L144" s="342"/>
      <c r="M144" s="318"/>
      <c r="N144" s="345"/>
      <c r="O144" s="346"/>
      <c r="P144" s="344"/>
      <c r="Q144" s="344"/>
      <c r="R144" s="344"/>
      <c r="S144" s="318"/>
      <c r="T144" s="319">
        <f t="shared" si="13"/>
        <v>1820</v>
      </c>
      <c r="U144" s="422"/>
      <c r="V144" s="265"/>
      <c r="W144" s="347">
        <v>1.0</v>
      </c>
      <c r="X144" s="348">
        <v>2.0</v>
      </c>
      <c r="Y144" s="349">
        <v>3.0</v>
      </c>
      <c r="Z144" s="350">
        <v>4.0</v>
      </c>
      <c r="AA144" s="351">
        <v>5.0</v>
      </c>
      <c r="AB144" s="352">
        <v>6.0</v>
      </c>
      <c r="AC144" s="353">
        <v>7.0</v>
      </c>
      <c r="AD144" s="354">
        <v>8.0</v>
      </c>
      <c r="AE144" s="355">
        <v>9.0</v>
      </c>
      <c r="AF144" s="356">
        <v>10.0</v>
      </c>
      <c r="AG144" s="37"/>
    </row>
    <row r="145">
      <c r="A145" s="37"/>
      <c r="B145" s="308"/>
      <c r="C145" s="330">
        <v>6.0</v>
      </c>
      <c r="D145" s="358" t="s">
        <v>174</v>
      </c>
      <c r="E145" s="423">
        <v>10.0</v>
      </c>
      <c r="F145" s="333">
        <v>22.5</v>
      </c>
      <c r="G145" s="379"/>
      <c r="H145" s="423">
        <v>9.0</v>
      </c>
      <c r="I145" s="379">
        <v>22.5</v>
      </c>
      <c r="J145" s="339"/>
      <c r="K145" s="332"/>
      <c r="L145" s="338"/>
      <c r="M145" s="336"/>
      <c r="N145" s="337"/>
      <c r="O145" s="338"/>
      <c r="P145" s="440"/>
      <c r="Q145" s="339"/>
      <c r="R145" s="339"/>
      <c r="S145" s="336"/>
      <c r="T145" s="319">
        <f t="shared" si="13"/>
        <v>427.5</v>
      </c>
      <c r="U145" s="422"/>
      <c r="V145" s="265"/>
      <c r="W145" s="293"/>
      <c r="X145" s="293"/>
      <c r="Y145" s="293"/>
      <c r="Z145" s="293"/>
      <c r="AA145" s="293"/>
      <c r="AB145" s="293"/>
      <c r="AC145" s="293"/>
      <c r="AD145" s="293"/>
      <c r="AE145" s="293"/>
      <c r="AF145" s="293"/>
      <c r="AG145" s="37"/>
    </row>
    <row r="146">
      <c r="A146" s="37"/>
      <c r="B146" s="308"/>
      <c r="C146" s="309">
        <v>7.0</v>
      </c>
      <c r="D146" s="382"/>
      <c r="E146" s="318"/>
      <c r="F146" s="346"/>
      <c r="G146" s="318"/>
      <c r="H146" s="345"/>
      <c r="I146" s="346"/>
      <c r="J146" s="344"/>
      <c r="K146" s="311"/>
      <c r="L146" s="342"/>
      <c r="M146" s="318"/>
      <c r="N146" s="345"/>
      <c r="O146" s="346"/>
      <c r="P146" s="344"/>
      <c r="Q146" s="344"/>
      <c r="R146" s="344"/>
      <c r="S146" s="318"/>
      <c r="T146" s="319">
        <f t="shared" si="13"/>
        <v>0</v>
      </c>
      <c r="U146" s="422"/>
      <c r="V146" s="265"/>
      <c r="W146" s="357" t="s">
        <v>231</v>
      </c>
      <c r="X146" s="268"/>
      <c r="Y146" s="268"/>
      <c r="Z146" s="268"/>
      <c r="AA146" s="268"/>
      <c r="AB146" s="268"/>
      <c r="AC146" s="268"/>
      <c r="AD146" s="268"/>
      <c r="AE146" s="268"/>
      <c r="AF146" s="57"/>
      <c r="AG146" s="37"/>
    </row>
    <row r="147">
      <c r="A147" s="37"/>
      <c r="B147" s="308"/>
      <c r="C147" s="330">
        <v>8.0</v>
      </c>
      <c r="D147" s="358"/>
      <c r="E147" s="336"/>
      <c r="F147" s="338"/>
      <c r="G147" s="336"/>
      <c r="H147" s="337"/>
      <c r="I147" s="338"/>
      <c r="J147" s="339"/>
      <c r="K147" s="336"/>
      <c r="L147" s="338"/>
      <c r="M147" s="336"/>
      <c r="N147" s="337"/>
      <c r="O147" s="338"/>
      <c r="P147" s="339"/>
      <c r="Q147" s="336"/>
      <c r="R147" s="338"/>
      <c r="S147" s="336"/>
      <c r="T147" s="319">
        <f t="shared" si="13"/>
        <v>0</v>
      </c>
      <c r="U147" s="422"/>
      <c r="V147" s="265"/>
      <c r="W147" s="359"/>
      <c r="X147" s="273"/>
      <c r="Y147" s="273"/>
      <c r="Z147" s="273"/>
      <c r="AA147" s="273"/>
      <c r="AB147" s="273"/>
      <c r="AC147" s="273"/>
      <c r="AD147" s="273"/>
      <c r="AE147" s="273"/>
      <c r="AF147" s="270"/>
      <c r="AG147" s="37"/>
    </row>
    <row r="148">
      <c r="A148" s="37"/>
      <c r="B148" s="308"/>
      <c r="C148" s="309">
        <v>9.0</v>
      </c>
      <c r="D148" s="360"/>
      <c r="E148" s="318"/>
      <c r="F148" s="346"/>
      <c r="G148" s="318"/>
      <c r="H148" s="345"/>
      <c r="I148" s="346"/>
      <c r="J148" s="344"/>
      <c r="K148" s="318"/>
      <c r="L148" s="346"/>
      <c r="M148" s="318"/>
      <c r="N148" s="345"/>
      <c r="O148" s="346"/>
      <c r="P148" s="344"/>
      <c r="Q148" s="318"/>
      <c r="R148" s="346"/>
      <c r="S148" s="318"/>
      <c r="T148" s="319">
        <f t="shared" si="13"/>
        <v>0</v>
      </c>
      <c r="U148" s="422"/>
      <c r="V148" s="265"/>
      <c r="W148" s="90"/>
      <c r="AF148" s="25"/>
      <c r="AG148" s="37"/>
    </row>
    <row r="149">
      <c r="A149" s="37"/>
      <c r="B149" s="308"/>
      <c r="C149" s="330">
        <v>10.0</v>
      </c>
      <c r="D149" s="358"/>
      <c r="E149" s="336"/>
      <c r="F149" s="338"/>
      <c r="G149" s="336"/>
      <c r="H149" s="337"/>
      <c r="I149" s="338"/>
      <c r="J149" s="339"/>
      <c r="K149" s="336"/>
      <c r="L149" s="338"/>
      <c r="M149" s="336"/>
      <c r="N149" s="337"/>
      <c r="O149" s="338"/>
      <c r="P149" s="339"/>
      <c r="Q149" s="336"/>
      <c r="R149" s="338"/>
      <c r="S149" s="336"/>
      <c r="T149" s="319">
        <f t="shared" si="13"/>
        <v>0</v>
      </c>
      <c r="U149" s="422"/>
      <c r="V149" s="265"/>
      <c r="W149" s="90"/>
      <c r="AF149" s="25"/>
      <c r="AG149" s="37"/>
    </row>
    <row r="150">
      <c r="A150" s="37"/>
      <c r="B150" s="361"/>
      <c r="C150" s="362">
        <v>11.0</v>
      </c>
      <c r="D150" s="363"/>
      <c r="E150" s="364"/>
      <c r="F150" s="365"/>
      <c r="G150" s="364"/>
      <c r="H150" s="366"/>
      <c r="I150" s="365"/>
      <c r="J150" s="367"/>
      <c r="K150" s="364"/>
      <c r="L150" s="365"/>
      <c r="M150" s="364"/>
      <c r="N150" s="366"/>
      <c r="O150" s="365"/>
      <c r="P150" s="367"/>
      <c r="Q150" s="364"/>
      <c r="R150" s="365"/>
      <c r="S150" s="364"/>
      <c r="T150" s="319">
        <f t="shared" si="13"/>
        <v>0</v>
      </c>
      <c r="U150" s="422"/>
      <c r="V150" s="265"/>
      <c r="W150" s="27"/>
      <c r="X150" s="22"/>
      <c r="Y150" s="22"/>
      <c r="Z150" s="22"/>
      <c r="AA150" s="22"/>
      <c r="AB150" s="22"/>
      <c r="AC150" s="22"/>
      <c r="AD150" s="22"/>
      <c r="AE150" s="22"/>
      <c r="AF150" s="28"/>
      <c r="AG150" s="37"/>
    </row>
    <row r="151">
      <c r="A151" s="37"/>
      <c r="B151" s="368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92"/>
      <c r="R151" s="265"/>
      <c r="S151" s="265"/>
      <c r="T151" s="265"/>
      <c r="U151" s="265"/>
      <c r="V151" s="265"/>
      <c r="W151" s="293"/>
      <c r="X151" s="293"/>
      <c r="Y151" s="293"/>
      <c r="Z151" s="293"/>
      <c r="AA151" s="293"/>
      <c r="AB151" s="371"/>
      <c r="AC151" s="293"/>
      <c r="AD151" s="293"/>
      <c r="AE151" s="293"/>
      <c r="AF151" s="293"/>
      <c r="AG151" s="37"/>
    </row>
    <row r="152">
      <c r="A152" s="37"/>
      <c r="B152" s="265"/>
      <c r="C152" s="294" t="s">
        <v>209</v>
      </c>
      <c r="D152" s="295"/>
      <c r="E152" s="296" t="s">
        <v>241</v>
      </c>
      <c r="F152" s="297"/>
      <c r="G152" s="297"/>
      <c r="H152" s="297"/>
      <c r="I152" s="297"/>
      <c r="J152" s="297"/>
      <c r="K152" s="297"/>
      <c r="L152" s="297"/>
      <c r="M152" s="282"/>
      <c r="N152" s="298" t="s">
        <v>211</v>
      </c>
      <c r="O152" s="268"/>
      <c r="P152" s="57"/>
      <c r="Q152" s="286"/>
      <c r="R152" s="268"/>
      <c r="S152" s="57"/>
      <c r="T152" s="292"/>
      <c r="U152" s="265"/>
      <c r="V152" s="265"/>
      <c r="W152" s="299" t="s">
        <v>213</v>
      </c>
      <c r="X152" s="268"/>
      <c r="Y152" s="268"/>
      <c r="Z152" s="268"/>
      <c r="AA152" s="268"/>
      <c r="AB152" s="57"/>
      <c r="AC152" s="300"/>
      <c r="AD152" s="273"/>
      <c r="AE152" s="273"/>
      <c r="AF152" s="270"/>
      <c r="AG152" s="37"/>
    </row>
    <row r="153">
      <c r="A153" s="37"/>
      <c r="B153" s="265"/>
      <c r="C153" s="301" t="s">
        <v>214</v>
      </c>
      <c r="D153" s="372">
        <v>45924.0</v>
      </c>
      <c r="E153" s="303" t="s">
        <v>215</v>
      </c>
      <c r="F153" s="22"/>
      <c r="G153" s="28"/>
      <c r="H153" s="304" t="s">
        <v>216</v>
      </c>
      <c r="I153" s="297"/>
      <c r="J153" s="282"/>
      <c r="K153" s="304" t="s">
        <v>217</v>
      </c>
      <c r="L153" s="297"/>
      <c r="M153" s="282"/>
      <c r="N153" s="304" t="s">
        <v>218</v>
      </c>
      <c r="O153" s="297"/>
      <c r="P153" s="282"/>
      <c r="Q153" s="304" t="s">
        <v>219</v>
      </c>
      <c r="R153" s="297"/>
      <c r="S153" s="282"/>
      <c r="T153" s="265"/>
      <c r="U153" s="265"/>
      <c r="V153" s="265"/>
      <c r="W153" s="64"/>
      <c r="AB153" s="63"/>
      <c r="AF153" s="25"/>
      <c r="AG153" s="37"/>
    </row>
    <row r="154">
      <c r="A154" s="37"/>
      <c r="B154" s="305" t="s">
        <v>258</v>
      </c>
      <c r="C154" s="306" t="s">
        <v>221</v>
      </c>
      <c r="D154" s="306" t="s">
        <v>222</v>
      </c>
      <c r="E154" s="301" t="s">
        <v>223</v>
      </c>
      <c r="F154" s="301" t="s">
        <v>224</v>
      </c>
      <c r="G154" s="301" t="s">
        <v>66</v>
      </c>
      <c r="H154" s="301" t="s">
        <v>223</v>
      </c>
      <c r="I154" s="301" t="s">
        <v>224</v>
      </c>
      <c r="J154" s="301" t="s">
        <v>66</v>
      </c>
      <c r="K154" s="301" t="s">
        <v>223</v>
      </c>
      <c r="L154" s="301" t="s">
        <v>224</v>
      </c>
      <c r="M154" s="301" t="s">
        <v>66</v>
      </c>
      <c r="N154" s="301" t="s">
        <v>223</v>
      </c>
      <c r="O154" s="301" t="s">
        <v>224</v>
      </c>
      <c r="P154" s="301" t="s">
        <v>66</v>
      </c>
      <c r="Q154" s="301" t="s">
        <v>223</v>
      </c>
      <c r="R154" s="301" t="s">
        <v>224</v>
      </c>
      <c r="S154" s="301" t="s">
        <v>66</v>
      </c>
      <c r="T154" s="307" t="s">
        <v>225</v>
      </c>
      <c r="U154" s="421" t="s">
        <v>263</v>
      </c>
      <c r="V154" s="265"/>
      <c r="W154" s="275"/>
      <c r="X154" s="276"/>
      <c r="Y154" s="276"/>
      <c r="Z154" s="276"/>
      <c r="AA154" s="276"/>
      <c r="AB154" s="291"/>
      <c r="AC154" s="22"/>
      <c r="AD154" s="22"/>
      <c r="AE154" s="22"/>
      <c r="AF154" s="28"/>
      <c r="AG154" s="37"/>
    </row>
    <row r="155">
      <c r="A155" s="37"/>
      <c r="B155" s="308"/>
      <c r="C155" s="309">
        <v>1.0</v>
      </c>
      <c r="D155" s="360" t="s">
        <v>154</v>
      </c>
      <c r="E155" s="413">
        <v>10.0</v>
      </c>
      <c r="F155" s="442">
        <v>10.0</v>
      </c>
      <c r="G155" s="414"/>
      <c r="H155" s="413">
        <v>10.0</v>
      </c>
      <c r="I155" s="442">
        <v>10.0</v>
      </c>
      <c r="J155" s="312"/>
      <c r="K155" s="318"/>
      <c r="L155" s="312"/>
      <c r="M155" s="318"/>
      <c r="N155" s="315"/>
      <c r="O155" s="316"/>
      <c r="P155" s="317"/>
      <c r="Q155" s="318"/>
      <c r="R155" s="316"/>
      <c r="S155" s="318"/>
      <c r="T155" s="319">
        <f t="shared" ref="T155:T165" si="14">(E155*F155)+(H155*I155)+(K155*L155)+(N155*O155)+(Q155*R155)</f>
        <v>200</v>
      </c>
      <c r="U155" s="422"/>
      <c r="V155" s="265"/>
      <c r="W155" s="320">
        <v>1.0</v>
      </c>
      <c r="X155" s="321">
        <v>2.0</v>
      </c>
      <c r="Y155" s="322">
        <v>3.0</v>
      </c>
      <c r="Z155" s="323">
        <v>4.0</v>
      </c>
      <c r="AA155" s="324">
        <v>5.0</v>
      </c>
      <c r="AB155" s="325">
        <v>6.0</v>
      </c>
      <c r="AC155" s="326">
        <v>7.0</v>
      </c>
      <c r="AD155" s="327">
        <v>8.0</v>
      </c>
      <c r="AE155" s="328">
        <v>9.0</v>
      </c>
      <c r="AF155" s="329">
        <v>10.0</v>
      </c>
      <c r="AG155" s="37"/>
    </row>
    <row r="156">
      <c r="A156" s="37"/>
      <c r="B156" s="308"/>
      <c r="C156" s="330">
        <v>2.0</v>
      </c>
      <c r="D156" s="358" t="s">
        <v>155</v>
      </c>
      <c r="E156" s="427">
        <v>12.0</v>
      </c>
      <c r="F156" s="427">
        <v>15.0</v>
      </c>
      <c r="G156" s="416"/>
      <c r="H156" s="427">
        <v>15.0</v>
      </c>
      <c r="I156" s="427">
        <v>20.0</v>
      </c>
      <c r="J156" s="333"/>
      <c r="K156" s="336"/>
      <c r="L156" s="333"/>
      <c r="M156" s="336"/>
      <c r="N156" s="337"/>
      <c r="O156" s="338"/>
      <c r="P156" s="440"/>
      <c r="Q156" s="336"/>
      <c r="R156" s="338"/>
      <c r="S156" s="336"/>
      <c r="T156" s="319">
        <f t="shared" si="14"/>
        <v>480</v>
      </c>
      <c r="U156" s="422"/>
      <c r="V156" s="265"/>
      <c r="W156" s="340" t="s">
        <v>227</v>
      </c>
      <c r="X156" s="268"/>
      <c r="Y156" s="268"/>
      <c r="Z156" s="268"/>
      <c r="AA156" s="268"/>
      <c r="AB156" s="57"/>
      <c r="AC156" s="300"/>
      <c r="AD156" s="273"/>
      <c r="AE156" s="273"/>
      <c r="AF156" s="270"/>
      <c r="AG156" s="37"/>
    </row>
    <row r="157">
      <c r="A157" s="37"/>
      <c r="B157" s="308"/>
      <c r="C157" s="309">
        <v>3.0</v>
      </c>
      <c r="D157" s="360" t="s">
        <v>156</v>
      </c>
      <c r="E157" s="428">
        <v>8.0</v>
      </c>
      <c r="F157" s="428">
        <v>60.0</v>
      </c>
      <c r="G157" s="418"/>
      <c r="H157" s="417">
        <v>8.0</v>
      </c>
      <c r="I157" s="428">
        <v>60.0</v>
      </c>
      <c r="J157" s="342"/>
      <c r="K157" s="318"/>
      <c r="L157" s="342"/>
      <c r="M157" s="318"/>
      <c r="N157" s="345"/>
      <c r="O157" s="346"/>
      <c r="P157" s="441"/>
      <c r="Q157" s="318"/>
      <c r="R157" s="346"/>
      <c r="S157" s="318"/>
      <c r="T157" s="319">
        <f t="shared" si="14"/>
        <v>960</v>
      </c>
      <c r="U157" s="422"/>
      <c r="V157" s="265"/>
      <c r="W157" s="64"/>
      <c r="AB157" s="63"/>
      <c r="AF157" s="25"/>
      <c r="AG157" s="37"/>
    </row>
    <row r="158">
      <c r="A158" s="37"/>
      <c r="B158" s="308"/>
      <c r="C158" s="330">
        <v>4.0</v>
      </c>
      <c r="D158" s="358" t="s">
        <v>159</v>
      </c>
      <c r="E158" s="415">
        <v>12.0</v>
      </c>
      <c r="F158" s="427">
        <v>50.0</v>
      </c>
      <c r="G158" s="416"/>
      <c r="H158" s="415">
        <v>12.0</v>
      </c>
      <c r="I158" s="427">
        <v>50.0</v>
      </c>
      <c r="J158" s="333"/>
      <c r="K158" s="336"/>
      <c r="L158" s="333"/>
      <c r="M158" s="336"/>
      <c r="N158" s="337"/>
      <c r="O158" s="338"/>
      <c r="P158" s="440"/>
      <c r="Q158" s="336"/>
      <c r="R158" s="338"/>
      <c r="S158" s="336"/>
      <c r="T158" s="319">
        <f t="shared" si="14"/>
        <v>1200</v>
      </c>
      <c r="U158" s="422"/>
      <c r="V158" s="265"/>
      <c r="W158" s="275"/>
      <c r="X158" s="276"/>
      <c r="Y158" s="276"/>
      <c r="Z158" s="276"/>
      <c r="AA158" s="276"/>
      <c r="AB158" s="291"/>
      <c r="AC158" s="22"/>
      <c r="AD158" s="22"/>
      <c r="AE158" s="22"/>
      <c r="AF158" s="28"/>
      <c r="AG158" s="37"/>
    </row>
    <row r="159">
      <c r="A159" s="37"/>
      <c r="B159" s="308"/>
      <c r="C159" s="309">
        <v>5.0</v>
      </c>
      <c r="D159" s="341" t="s">
        <v>265</v>
      </c>
      <c r="E159" s="418"/>
      <c r="F159" s="418"/>
      <c r="G159" s="418"/>
      <c r="H159" s="418"/>
      <c r="I159" s="418"/>
      <c r="J159" s="342"/>
      <c r="K159" s="318"/>
      <c r="L159" s="342"/>
      <c r="M159" s="318"/>
      <c r="N159" s="345"/>
      <c r="O159" s="346"/>
      <c r="P159" s="344"/>
      <c r="Q159" s="344"/>
      <c r="R159" s="344"/>
      <c r="S159" s="318"/>
      <c r="T159" s="319">
        <f t="shared" si="14"/>
        <v>0</v>
      </c>
      <c r="U159" s="422"/>
      <c r="V159" s="265"/>
      <c r="W159" s="347">
        <v>1.0</v>
      </c>
      <c r="X159" s="348">
        <v>2.0</v>
      </c>
      <c r="Y159" s="349">
        <v>3.0</v>
      </c>
      <c r="Z159" s="350">
        <v>4.0</v>
      </c>
      <c r="AA159" s="351">
        <v>5.0</v>
      </c>
      <c r="AB159" s="352">
        <v>6.0</v>
      </c>
      <c r="AC159" s="353">
        <v>7.0</v>
      </c>
      <c r="AD159" s="354">
        <v>8.0</v>
      </c>
      <c r="AE159" s="355">
        <v>9.0</v>
      </c>
      <c r="AF159" s="356">
        <v>10.0</v>
      </c>
      <c r="AG159" s="37"/>
    </row>
    <row r="160">
      <c r="A160" s="37"/>
      <c r="B160" s="308"/>
      <c r="C160" s="330">
        <v>6.0</v>
      </c>
      <c r="D160" s="358" t="s">
        <v>107</v>
      </c>
      <c r="E160" s="415">
        <v>16.0</v>
      </c>
      <c r="F160" s="415">
        <v>10.0</v>
      </c>
      <c r="G160" s="419"/>
      <c r="H160" s="415">
        <v>21.0</v>
      </c>
      <c r="I160" s="415">
        <v>10.0</v>
      </c>
      <c r="J160" s="338"/>
      <c r="K160" s="336"/>
      <c r="L160" s="338"/>
      <c r="M160" s="336"/>
      <c r="N160" s="337"/>
      <c r="O160" s="338"/>
      <c r="P160" s="440"/>
      <c r="Q160" s="339"/>
      <c r="R160" s="339"/>
      <c r="S160" s="336"/>
      <c r="T160" s="319">
        <f t="shared" si="14"/>
        <v>370</v>
      </c>
      <c r="U160" s="422"/>
      <c r="V160" s="265"/>
      <c r="W160" s="293"/>
      <c r="X160" s="293"/>
      <c r="Y160" s="293"/>
      <c r="Z160" s="293"/>
      <c r="AA160" s="293"/>
      <c r="AB160" s="293"/>
      <c r="AC160" s="293"/>
      <c r="AD160" s="293"/>
      <c r="AE160" s="293"/>
      <c r="AF160" s="293"/>
      <c r="AG160" s="37"/>
    </row>
    <row r="161">
      <c r="A161" s="37"/>
      <c r="B161" s="308"/>
      <c r="C161" s="309">
        <v>7.0</v>
      </c>
      <c r="D161" s="360" t="s">
        <v>163</v>
      </c>
      <c r="E161" s="417">
        <v>16.0</v>
      </c>
      <c r="F161" s="417">
        <v>7.5</v>
      </c>
      <c r="G161" s="420"/>
      <c r="H161" s="417">
        <v>20.0</v>
      </c>
      <c r="I161" s="417">
        <v>7.5</v>
      </c>
      <c r="J161" s="342"/>
      <c r="K161" s="318"/>
      <c r="L161" s="342"/>
      <c r="M161" s="318"/>
      <c r="N161" s="345"/>
      <c r="O161" s="346"/>
      <c r="P161" s="344"/>
      <c r="Q161" s="344"/>
      <c r="R161" s="344"/>
      <c r="S161" s="318"/>
      <c r="T161" s="319">
        <f t="shared" si="14"/>
        <v>270</v>
      </c>
      <c r="U161" s="422"/>
      <c r="V161" s="265"/>
      <c r="W161" s="357" t="s">
        <v>231</v>
      </c>
      <c r="X161" s="268"/>
      <c r="Y161" s="268"/>
      <c r="Z161" s="268"/>
      <c r="AA161" s="268"/>
      <c r="AB161" s="268"/>
      <c r="AC161" s="268"/>
      <c r="AD161" s="268"/>
      <c r="AE161" s="268"/>
      <c r="AF161" s="57"/>
      <c r="AG161" s="37"/>
    </row>
    <row r="162">
      <c r="A162" s="37"/>
      <c r="B162" s="308"/>
      <c r="C162" s="330">
        <v>8.0</v>
      </c>
      <c r="D162" s="358"/>
      <c r="E162" s="336"/>
      <c r="F162" s="338"/>
      <c r="G162" s="336"/>
      <c r="H162" s="337"/>
      <c r="I162" s="338"/>
      <c r="J162" s="338"/>
      <c r="K162" s="336"/>
      <c r="L162" s="338"/>
      <c r="M162" s="336"/>
      <c r="N162" s="337"/>
      <c r="O162" s="338"/>
      <c r="P162" s="339"/>
      <c r="Q162" s="336"/>
      <c r="R162" s="338"/>
      <c r="S162" s="336"/>
      <c r="T162" s="319">
        <f t="shared" si="14"/>
        <v>0</v>
      </c>
      <c r="U162" s="422"/>
      <c r="V162" s="265"/>
      <c r="W162" s="370"/>
      <c r="X162" s="273"/>
      <c r="Y162" s="273"/>
      <c r="Z162" s="273"/>
      <c r="AA162" s="273"/>
      <c r="AB162" s="273"/>
      <c r="AC162" s="273"/>
      <c r="AD162" s="273"/>
      <c r="AE162" s="273"/>
      <c r="AF162" s="270"/>
      <c r="AG162" s="37"/>
    </row>
    <row r="163">
      <c r="A163" s="37"/>
      <c r="B163" s="308"/>
      <c r="C163" s="309">
        <v>9.0</v>
      </c>
      <c r="D163" s="360"/>
      <c r="E163" s="318"/>
      <c r="F163" s="346"/>
      <c r="G163" s="318"/>
      <c r="H163" s="345"/>
      <c r="I163" s="346"/>
      <c r="J163" s="346"/>
      <c r="K163" s="318"/>
      <c r="L163" s="346"/>
      <c r="M163" s="318"/>
      <c r="N163" s="345"/>
      <c r="O163" s="346"/>
      <c r="P163" s="344"/>
      <c r="Q163" s="318"/>
      <c r="R163" s="346"/>
      <c r="S163" s="318"/>
      <c r="T163" s="319">
        <f t="shared" si="14"/>
        <v>0</v>
      </c>
      <c r="U163" s="422"/>
      <c r="V163" s="265"/>
      <c r="W163" s="90"/>
      <c r="AF163" s="25"/>
      <c r="AG163" s="37"/>
    </row>
    <row r="164">
      <c r="A164" s="37"/>
      <c r="B164" s="308"/>
      <c r="C164" s="330">
        <v>10.0</v>
      </c>
      <c r="D164" s="358"/>
      <c r="E164" s="336"/>
      <c r="F164" s="338"/>
      <c r="G164" s="336"/>
      <c r="H164" s="337"/>
      <c r="I164" s="338"/>
      <c r="J164" s="338"/>
      <c r="K164" s="336"/>
      <c r="L164" s="338"/>
      <c r="M164" s="336"/>
      <c r="N164" s="337"/>
      <c r="O164" s="338"/>
      <c r="P164" s="339"/>
      <c r="Q164" s="336"/>
      <c r="R164" s="338"/>
      <c r="S164" s="336"/>
      <c r="T164" s="319">
        <f t="shared" si="14"/>
        <v>0</v>
      </c>
      <c r="U164" s="422"/>
      <c r="V164" s="265"/>
      <c r="W164" s="90"/>
      <c r="AF164" s="25"/>
      <c r="AG164" s="37"/>
    </row>
    <row r="165">
      <c r="A165" s="37"/>
      <c r="B165" s="361"/>
      <c r="C165" s="362">
        <v>11.0</v>
      </c>
      <c r="D165" s="363"/>
      <c r="E165" s="364"/>
      <c r="F165" s="365"/>
      <c r="G165" s="364"/>
      <c r="H165" s="366"/>
      <c r="I165" s="365"/>
      <c r="J165" s="365"/>
      <c r="K165" s="364"/>
      <c r="L165" s="365"/>
      <c r="M165" s="364"/>
      <c r="N165" s="366"/>
      <c r="O165" s="365"/>
      <c r="P165" s="367"/>
      <c r="Q165" s="364"/>
      <c r="R165" s="365"/>
      <c r="S165" s="364"/>
      <c r="T165" s="319">
        <f t="shared" si="14"/>
        <v>0</v>
      </c>
      <c r="U165" s="422"/>
      <c r="V165" s="265"/>
      <c r="W165" s="27"/>
      <c r="X165" s="22"/>
      <c r="Y165" s="22"/>
      <c r="Z165" s="22"/>
      <c r="AA165" s="22"/>
      <c r="AB165" s="22"/>
      <c r="AC165" s="22"/>
      <c r="AD165" s="22"/>
      <c r="AE165" s="22"/>
      <c r="AF165" s="28"/>
      <c r="AG165" s="37"/>
    </row>
    <row r="166">
      <c r="A166" s="37"/>
      <c r="B166" s="368"/>
      <c r="C166" s="265"/>
      <c r="D166" s="265"/>
      <c r="E166" s="265"/>
      <c r="F166" s="265"/>
      <c r="G166" s="265"/>
      <c r="H166" s="265"/>
      <c r="I166" s="265"/>
      <c r="J166" s="292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93"/>
      <c r="X166" s="293"/>
      <c r="Y166" s="293"/>
      <c r="Z166" s="293"/>
      <c r="AA166" s="293"/>
      <c r="AB166" s="293"/>
      <c r="AC166" s="293"/>
      <c r="AD166" s="293"/>
      <c r="AE166" s="293"/>
      <c r="AF166" s="293"/>
      <c r="AG166" s="37"/>
    </row>
  </sheetData>
  <mergeCells count="217">
    <mergeCell ref="W100:AF100"/>
    <mergeCell ref="W101:AF104"/>
    <mergeCell ref="W106:AB108"/>
    <mergeCell ref="AC106:AF108"/>
    <mergeCell ref="W110:AB112"/>
    <mergeCell ref="AC110:AF112"/>
    <mergeCell ref="W115:AF115"/>
    <mergeCell ref="W116:AF119"/>
    <mergeCell ref="W121:AB123"/>
    <mergeCell ref="AC121:AF123"/>
    <mergeCell ref="W125:AB127"/>
    <mergeCell ref="AC125:AF127"/>
    <mergeCell ref="W130:AF130"/>
    <mergeCell ref="W131:AF134"/>
    <mergeCell ref="M10:N10"/>
    <mergeCell ref="O10:P10"/>
    <mergeCell ref="M7:N7"/>
    <mergeCell ref="O7:P7"/>
    <mergeCell ref="Q7:R7"/>
    <mergeCell ref="AA7:AB10"/>
    <mergeCell ref="Q8:R8"/>
    <mergeCell ref="Q9:R9"/>
    <mergeCell ref="Q10:R10"/>
    <mergeCell ref="W7:Z10"/>
    <mergeCell ref="W15:AB17"/>
    <mergeCell ref="AC15:AF17"/>
    <mergeCell ref="W19:AB21"/>
    <mergeCell ref="AC19:AF21"/>
    <mergeCell ref="W24:AF24"/>
    <mergeCell ref="W25:AF28"/>
    <mergeCell ref="W31:AB33"/>
    <mergeCell ref="AC31:AF33"/>
    <mergeCell ref="W35:AB37"/>
    <mergeCell ref="AC35:AF37"/>
    <mergeCell ref="W40:AF40"/>
    <mergeCell ref="W41:AF44"/>
    <mergeCell ref="AC46:AF48"/>
    <mergeCell ref="N62:P62"/>
    <mergeCell ref="Q62:S62"/>
    <mergeCell ref="N77:P77"/>
    <mergeCell ref="Q77:S77"/>
    <mergeCell ref="N92:P92"/>
    <mergeCell ref="Q92:S92"/>
    <mergeCell ref="W46:AB48"/>
    <mergeCell ref="W50:AB52"/>
    <mergeCell ref="AC50:AF52"/>
    <mergeCell ref="W55:AF55"/>
    <mergeCell ref="W56:AF59"/>
    <mergeCell ref="W61:AB63"/>
    <mergeCell ref="AC61:AF63"/>
    <mergeCell ref="W152:AB154"/>
    <mergeCell ref="N153:P153"/>
    <mergeCell ref="Q153:S153"/>
    <mergeCell ref="I6:J6"/>
    <mergeCell ref="K6:L6"/>
    <mergeCell ref="O6:P6"/>
    <mergeCell ref="Q6:R6"/>
    <mergeCell ref="G7:H7"/>
    <mergeCell ref="I7:J7"/>
    <mergeCell ref="G8:H8"/>
    <mergeCell ref="I8:J8"/>
    <mergeCell ref="G9:H9"/>
    <mergeCell ref="I9:J9"/>
    <mergeCell ref="G10:H10"/>
    <mergeCell ref="I10:J10"/>
    <mergeCell ref="A1:B7"/>
    <mergeCell ref="C3:D4"/>
    <mergeCell ref="E3:F4"/>
    <mergeCell ref="I3:L4"/>
    <mergeCell ref="M3:N4"/>
    <mergeCell ref="G6:H6"/>
    <mergeCell ref="M6:N6"/>
    <mergeCell ref="M8:N8"/>
    <mergeCell ref="O8:P8"/>
    <mergeCell ref="K8:L8"/>
    <mergeCell ref="K9:L9"/>
    <mergeCell ref="M9:N9"/>
    <mergeCell ref="O9:P9"/>
    <mergeCell ref="K7:L7"/>
    <mergeCell ref="K10:L10"/>
    <mergeCell ref="M11:N11"/>
    <mergeCell ref="O11:P11"/>
    <mergeCell ref="Q11:R11"/>
    <mergeCell ref="E15:M15"/>
    <mergeCell ref="N15:P15"/>
    <mergeCell ref="Q15:S15"/>
    <mergeCell ref="E16:G16"/>
    <mergeCell ref="H16:J16"/>
    <mergeCell ref="K16:M16"/>
    <mergeCell ref="N16:P16"/>
    <mergeCell ref="Q16:S16"/>
    <mergeCell ref="C10:D10"/>
    <mergeCell ref="E10:F10"/>
    <mergeCell ref="C11:D11"/>
    <mergeCell ref="E11:F11"/>
    <mergeCell ref="G11:H11"/>
    <mergeCell ref="I11:J11"/>
    <mergeCell ref="K11:L11"/>
    <mergeCell ref="E6:F6"/>
    <mergeCell ref="C7:D7"/>
    <mergeCell ref="E7:F7"/>
    <mergeCell ref="C8:D8"/>
    <mergeCell ref="E8:F8"/>
    <mergeCell ref="C9:D9"/>
    <mergeCell ref="E9:F9"/>
    <mergeCell ref="N32:P32"/>
    <mergeCell ref="Q32:S32"/>
    <mergeCell ref="C15:D15"/>
    <mergeCell ref="B17:B28"/>
    <mergeCell ref="C31:D31"/>
    <mergeCell ref="E31:M31"/>
    <mergeCell ref="N31:P31"/>
    <mergeCell ref="Q31:S31"/>
    <mergeCell ref="E32:G32"/>
    <mergeCell ref="H32:J32"/>
    <mergeCell ref="K32:M32"/>
    <mergeCell ref="B33:B44"/>
    <mergeCell ref="C46:D46"/>
    <mergeCell ref="E46:M46"/>
    <mergeCell ref="N46:P46"/>
    <mergeCell ref="Q46:S46"/>
    <mergeCell ref="W65:AB67"/>
    <mergeCell ref="AC65:AF67"/>
    <mergeCell ref="W70:AF70"/>
    <mergeCell ref="W71:AF74"/>
    <mergeCell ref="W76:AB78"/>
    <mergeCell ref="AC76:AF78"/>
    <mergeCell ref="AC80:AF82"/>
    <mergeCell ref="W80:AB82"/>
    <mergeCell ref="W85:AF85"/>
    <mergeCell ref="W86:AF89"/>
    <mergeCell ref="W91:AB93"/>
    <mergeCell ref="AC91:AF93"/>
    <mergeCell ref="W95:AB97"/>
    <mergeCell ref="AC95:AF97"/>
    <mergeCell ref="E106:M106"/>
    <mergeCell ref="N106:P106"/>
    <mergeCell ref="Q106:S106"/>
    <mergeCell ref="E107:G107"/>
    <mergeCell ref="H107:J107"/>
    <mergeCell ref="N107:P107"/>
    <mergeCell ref="Q107:S107"/>
    <mergeCell ref="K107:M107"/>
    <mergeCell ref="E121:M121"/>
    <mergeCell ref="N121:P121"/>
    <mergeCell ref="Q121:S121"/>
    <mergeCell ref="E122:G122"/>
    <mergeCell ref="H122:J122"/>
    <mergeCell ref="K122:M122"/>
    <mergeCell ref="B139:B150"/>
    <mergeCell ref="C152:D152"/>
    <mergeCell ref="B154:B165"/>
    <mergeCell ref="B78:B89"/>
    <mergeCell ref="B93:B104"/>
    <mergeCell ref="C106:D106"/>
    <mergeCell ref="B108:B119"/>
    <mergeCell ref="C121:D121"/>
    <mergeCell ref="B123:B134"/>
    <mergeCell ref="C137:D137"/>
    <mergeCell ref="E47:G47"/>
    <mergeCell ref="H47:J47"/>
    <mergeCell ref="K47:M47"/>
    <mergeCell ref="N47:P47"/>
    <mergeCell ref="Q47:S47"/>
    <mergeCell ref="B48:B59"/>
    <mergeCell ref="C61:D61"/>
    <mergeCell ref="Q61:S61"/>
    <mergeCell ref="Q65:R65"/>
    <mergeCell ref="Q68:R68"/>
    <mergeCell ref="E61:M61"/>
    <mergeCell ref="N61:P61"/>
    <mergeCell ref="E62:G62"/>
    <mergeCell ref="H62:J62"/>
    <mergeCell ref="K62:M62"/>
    <mergeCell ref="B63:B74"/>
    <mergeCell ref="Q64:R64"/>
    <mergeCell ref="C76:D76"/>
    <mergeCell ref="E76:M76"/>
    <mergeCell ref="N76:P76"/>
    <mergeCell ref="Q76:S76"/>
    <mergeCell ref="E77:G77"/>
    <mergeCell ref="H77:J77"/>
    <mergeCell ref="K77:M77"/>
    <mergeCell ref="C91:D91"/>
    <mergeCell ref="E91:M91"/>
    <mergeCell ref="N91:P91"/>
    <mergeCell ref="Q91:S91"/>
    <mergeCell ref="E92:G92"/>
    <mergeCell ref="H92:J92"/>
    <mergeCell ref="K92:M92"/>
    <mergeCell ref="K138:M138"/>
    <mergeCell ref="N138:P138"/>
    <mergeCell ref="E152:M152"/>
    <mergeCell ref="N152:P152"/>
    <mergeCell ref="Q152:S152"/>
    <mergeCell ref="E153:G153"/>
    <mergeCell ref="H153:J153"/>
    <mergeCell ref="K153:M153"/>
    <mergeCell ref="N122:P122"/>
    <mergeCell ref="Q122:S122"/>
    <mergeCell ref="E137:M137"/>
    <mergeCell ref="N137:P137"/>
    <mergeCell ref="Q137:S137"/>
    <mergeCell ref="E138:G138"/>
    <mergeCell ref="H138:J138"/>
    <mergeCell ref="Q138:S138"/>
    <mergeCell ref="W156:AB158"/>
    <mergeCell ref="AC156:AF158"/>
    <mergeCell ref="W161:AF161"/>
    <mergeCell ref="W162:AF165"/>
    <mergeCell ref="W137:AB139"/>
    <mergeCell ref="AC137:AF139"/>
    <mergeCell ref="W141:AB143"/>
    <mergeCell ref="AC141:AF143"/>
    <mergeCell ref="W146:AF146"/>
    <mergeCell ref="W147:AF150"/>
    <mergeCell ref="AC152:AF154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 AC15 AC19 AC31 AC35 AC46 AC50 AC61 AC65 AC76 AC80 AC91 AC95 AC106 AC110 AC121 AC125 AC137 AC141 AC152 AC156">
      <formula1>"1,2,3,4,5,6,7,8,9,10"</formula1>
    </dataValidation>
    <dataValidation type="list" allowBlank="1" showErrorMessage="1" sqref="AA7">
      <formula1>"SI,NO"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5 Q31 Q46 Q61 Q76 Q91 Q106 Q121 Q137 Q152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264"/>
      <c r="B14" s="265"/>
      <c r="C14" s="294" t="s">
        <v>209</v>
      </c>
      <c r="D14" s="295"/>
      <c r="E14" s="296" t="s">
        <v>257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264"/>
      <c r="B15" s="265"/>
      <c r="C15" s="301" t="s">
        <v>214</v>
      </c>
      <c r="D15" s="302">
        <v>45931.0</v>
      </c>
      <c r="E15" s="303" t="s">
        <v>215</v>
      </c>
      <c r="F15" s="22"/>
      <c r="G15" s="28"/>
      <c r="H15" s="304" t="s">
        <v>216</v>
      </c>
      <c r="I15" s="297"/>
      <c r="J15" s="282"/>
      <c r="K15" s="304" t="s">
        <v>217</v>
      </c>
      <c r="L15" s="297"/>
      <c r="M15" s="282"/>
      <c r="N15" s="304" t="s">
        <v>218</v>
      </c>
      <c r="O15" s="297"/>
      <c r="P15" s="282"/>
      <c r="Q15" s="304" t="s">
        <v>219</v>
      </c>
      <c r="R15" s="297"/>
      <c r="S15" s="282"/>
      <c r="T15" s="265"/>
      <c r="U15" s="265"/>
      <c r="V15" s="265"/>
    </row>
    <row r="16">
      <c r="A16" s="264"/>
      <c r="B16" s="443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64</v>
      </c>
      <c r="L16" s="301" t="s">
        <v>223</v>
      </c>
      <c r="M16" s="444" t="s">
        <v>266</v>
      </c>
      <c r="N16" s="282"/>
      <c r="O16" s="445" t="s">
        <v>68</v>
      </c>
      <c r="P16" s="301"/>
      <c r="Q16" s="301"/>
      <c r="R16" s="301"/>
      <c r="S16" s="301"/>
      <c r="T16" s="307" t="s">
        <v>225</v>
      </c>
      <c r="U16" s="421" t="s">
        <v>263</v>
      </c>
      <c r="V16" s="265"/>
    </row>
    <row r="17">
      <c r="A17" s="264"/>
      <c r="B17" s="308"/>
      <c r="C17" s="309">
        <v>1.0</v>
      </c>
      <c r="D17" s="373" t="s">
        <v>127</v>
      </c>
      <c r="E17" s="256">
        <v>16.0</v>
      </c>
      <c r="F17" s="312">
        <v>10.0</v>
      </c>
      <c r="G17" s="318"/>
      <c r="H17" s="313">
        <v>16.0</v>
      </c>
      <c r="I17" s="312">
        <v>10.0</v>
      </c>
      <c r="J17" s="312"/>
      <c r="K17" s="446">
        <v>2.0</v>
      </c>
      <c r="L17" s="447" t="s">
        <v>134</v>
      </c>
      <c r="M17" s="311"/>
      <c r="N17" s="312"/>
      <c r="O17" s="258"/>
      <c r="P17" s="447"/>
      <c r="Q17" s="311"/>
      <c r="R17" s="312"/>
      <c r="S17" s="258"/>
      <c r="T17" s="319">
        <f t="shared" ref="T17:T23" si="1">(E17*F17)+(H17*I17)</f>
        <v>320</v>
      </c>
      <c r="U17" s="422"/>
      <c r="V17" s="265"/>
    </row>
    <row r="18">
      <c r="A18" s="264"/>
      <c r="B18" s="308"/>
      <c r="C18" s="330">
        <v>2.0</v>
      </c>
      <c r="D18" s="377" t="s">
        <v>178</v>
      </c>
      <c r="E18" s="423">
        <v>10.0</v>
      </c>
      <c r="F18" s="333">
        <v>40.0</v>
      </c>
      <c r="G18" s="336"/>
      <c r="H18" s="334">
        <v>10.0</v>
      </c>
      <c r="I18" s="333">
        <v>40.0</v>
      </c>
      <c r="J18" s="333"/>
      <c r="K18" s="448">
        <v>2.0</v>
      </c>
      <c r="L18" s="449">
        <v>45573.0</v>
      </c>
      <c r="M18" s="332"/>
      <c r="N18" s="333"/>
      <c r="O18" s="431"/>
      <c r="P18" s="449"/>
      <c r="Q18" s="332"/>
      <c r="R18" s="333"/>
      <c r="S18" s="431"/>
      <c r="T18" s="319">
        <f t="shared" si="1"/>
        <v>800</v>
      </c>
      <c r="U18" s="422"/>
      <c r="V18" s="265"/>
    </row>
    <row r="19">
      <c r="A19" s="264"/>
      <c r="B19" s="308"/>
      <c r="C19" s="309">
        <v>3.0</v>
      </c>
      <c r="D19" s="382" t="s">
        <v>179</v>
      </c>
      <c r="E19" s="259">
        <v>6.0</v>
      </c>
      <c r="F19" s="383">
        <v>60.0</v>
      </c>
      <c r="G19" s="318"/>
      <c r="H19" s="343">
        <v>5.0</v>
      </c>
      <c r="I19" s="342">
        <v>60.0</v>
      </c>
      <c r="J19" s="342"/>
      <c r="K19" s="450">
        <v>2.0</v>
      </c>
      <c r="L19" s="451">
        <v>45510.0</v>
      </c>
      <c r="M19" s="311"/>
      <c r="N19" s="342"/>
      <c r="O19" s="211"/>
      <c r="P19" s="451"/>
      <c r="Q19" s="311"/>
      <c r="R19" s="342"/>
      <c r="S19" s="211"/>
      <c r="T19" s="319">
        <f t="shared" si="1"/>
        <v>660</v>
      </c>
      <c r="U19" s="422"/>
      <c r="V19" s="265"/>
    </row>
    <row r="20">
      <c r="A20" s="264"/>
      <c r="B20" s="308"/>
      <c r="C20" s="330">
        <v>4.0</v>
      </c>
      <c r="D20" s="377" t="s">
        <v>180</v>
      </c>
      <c r="E20" s="423">
        <v>10.0</v>
      </c>
      <c r="F20" s="379">
        <v>30.0</v>
      </c>
      <c r="G20" s="336"/>
      <c r="H20" s="334">
        <v>10.0</v>
      </c>
      <c r="I20" s="333">
        <v>30.0</v>
      </c>
      <c r="J20" s="333"/>
      <c r="K20" s="452">
        <v>2.0</v>
      </c>
      <c r="L20" s="449">
        <v>45573.0</v>
      </c>
      <c r="M20" s="332"/>
      <c r="N20" s="333"/>
      <c r="O20" s="431"/>
      <c r="P20" s="449"/>
      <c r="Q20" s="332"/>
      <c r="R20" s="333"/>
      <c r="S20" s="431"/>
      <c r="T20" s="319">
        <f t="shared" si="1"/>
        <v>600</v>
      </c>
      <c r="U20" s="422"/>
      <c r="V20" s="265"/>
    </row>
    <row r="21">
      <c r="A21" s="264"/>
      <c r="B21" s="308"/>
      <c r="C21" s="309">
        <v>5.0</v>
      </c>
      <c r="D21" s="382" t="s">
        <v>141</v>
      </c>
      <c r="E21" s="259">
        <v>14.0</v>
      </c>
      <c r="F21" s="383">
        <v>15.0</v>
      </c>
      <c r="G21" s="318"/>
      <c r="H21" s="343">
        <v>12.0</v>
      </c>
      <c r="I21" s="342">
        <v>15.0</v>
      </c>
      <c r="J21" s="342"/>
      <c r="K21" s="450" t="s">
        <v>78</v>
      </c>
      <c r="L21" s="453" t="s">
        <v>108</v>
      </c>
      <c r="M21" s="100" t="s">
        <v>73</v>
      </c>
      <c r="N21" s="25"/>
      <c r="O21" s="258">
        <v>3101.0</v>
      </c>
      <c r="P21" s="453"/>
      <c r="Q21" s="100"/>
      <c r="R21" s="25"/>
      <c r="S21" s="258"/>
      <c r="T21" s="319">
        <f t="shared" si="1"/>
        <v>390</v>
      </c>
      <c r="U21" s="422"/>
      <c r="V21" s="265"/>
    </row>
    <row r="22">
      <c r="A22" s="264"/>
      <c r="B22" s="308"/>
      <c r="C22" s="330">
        <v>6.0</v>
      </c>
      <c r="D22" s="331" t="s">
        <v>139</v>
      </c>
      <c r="E22" s="423">
        <v>12.0</v>
      </c>
      <c r="F22" s="379">
        <v>30.0</v>
      </c>
      <c r="G22" s="336"/>
      <c r="H22" s="334">
        <v>14.0</v>
      </c>
      <c r="I22" s="333">
        <v>30.0</v>
      </c>
      <c r="J22" s="333"/>
      <c r="K22" s="448" t="s">
        <v>78</v>
      </c>
      <c r="L22" s="454">
        <v>45999.0</v>
      </c>
      <c r="M22" s="455" t="s">
        <v>97</v>
      </c>
      <c r="N22" s="25"/>
      <c r="O22" s="431"/>
      <c r="P22" s="454"/>
      <c r="Q22" s="455"/>
      <c r="R22" s="25"/>
      <c r="S22" s="431"/>
      <c r="T22" s="319">
        <f t="shared" si="1"/>
        <v>780</v>
      </c>
      <c r="U22" s="422"/>
      <c r="V22" s="265"/>
    </row>
    <row r="23" ht="31.5" customHeight="1">
      <c r="A23" s="264"/>
      <c r="B23" s="361"/>
      <c r="C23" s="309">
        <v>7.0</v>
      </c>
      <c r="D23" s="382" t="s">
        <v>88</v>
      </c>
      <c r="E23" s="259">
        <v>12.0</v>
      </c>
      <c r="F23" s="383">
        <v>8.0</v>
      </c>
      <c r="G23" s="318"/>
      <c r="H23" s="343">
        <v>11.0</v>
      </c>
      <c r="I23" s="342">
        <v>8.0</v>
      </c>
      <c r="J23" s="346"/>
      <c r="K23" s="450" t="s">
        <v>78</v>
      </c>
      <c r="L23" s="453" t="s">
        <v>108</v>
      </c>
      <c r="M23" s="100" t="s">
        <v>73</v>
      </c>
      <c r="N23" s="25"/>
      <c r="O23" s="223">
        <v>3101.0</v>
      </c>
      <c r="P23" s="453"/>
      <c r="Q23" s="100"/>
      <c r="R23" s="25"/>
      <c r="S23" s="223"/>
      <c r="T23" s="319">
        <f t="shared" si="1"/>
        <v>184</v>
      </c>
      <c r="U23" s="422"/>
      <c r="V23" s="265"/>
    </row>
    <row r="24" ht="34.5" customHeight="1">
      <c r="A24" s="264"/>
      <c r="B24" s="368"/>
      <c r="C24" s="265"/>
      <c r="D24" s="265"/>
      <c r="E24" s="265"/>
      <c r="F24" s="265"/>
      <c r="G24" s="265"/>
      <c r="H24" s="265"/>
      <c r="I24" s="292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264"/>
      <c r="B25" s="265"/>
      <c r="C25" s="294" t="s">
        <v>209</v>
      </c>
      <c r="D25" s="295"/>
      <c r="E25" s="296" t="s">
        <v>244</v>
      </c>
      <c r="F25" s="297"/>
      <c r="G25" s="297"/>
      <c r="H25" s="297"/>
      <c r="I25" s="297"/>
      <c r="J25" s="297"/>
      <c r="K25" s="297"/>
      <c r="L25" s="297"/>
      <c r="M25" s="282"/>
      <c r="N25" s="298" t="s">
        <v>211</v>
      </c>
      <c r="O25" s="268"/>
      <c r="P25" s="57"/>
      <c r="Q25" s="286"/>
      <c r="R25" s="268"/>
      <c r="S25" s="57"/>
      <c r="T25" s="292"/>
      <c r="U25" s="265"/>
      <c r="V25" s="265"/>
    </row>
    <row r="26">
      <c r="A26" s="264"/>
      <c r="B26" s="265"/>
      <c r="C26" s="301" t="s">
        <v>214</v>
      </c>
      <c r="D26" s="372">
        <v>45933.0</v>
      </c>
      <c r="E26" s="303" t="s">
        <v>215</v>
      </c>
      <c r="F26" s="22"/>
      <c r="G26" s="28"/>
      <c r="H26" s="304" t="s">
        <v>216</v>
      </c>
      <c r="I26" s="297"/>
      <c r="J26" s="282"/>
      <c r="K26" s="304" t="s">
        <v>217</v>
      </c>
      <c r="L26" s="297"/>
      <c r="M26" s="282"/>
      <c r="N26" s="304" t="s">
        <v>218</v>
      </c>
      <c r="O26" s="297"/>
      <c r="P26" s="282"/>
      <c r="Q26" s="304" t="s">
        <v>219</v>
      </c>
      <c r="R26" s="297"/>
      <c r="S26" s="282"/>
      <c r="T26" s="265"/>
      <c r="U26" s="265"/>
      <c r="V26" s="265"/>
    </row>
    <row r="27">
      <c r="A27" s="264"/>
      <c r="B27" s="456" t="s">
        <v>234</v>
      </c>
      <c r="C27" s="306" t="s">
        <v>221</v>
      </c>
      <c r="D27" s="306" t="s">
        <v>222</v>
      </c>
      <c r="E27" s="301" t="s">
        <v>223</v>
      </c>
      <c r="F27" s="301" t="s">
        <v>224</v>
      </c>
      <c r="G27" s="301" t="s">
        <v>66</v>
      </c>
      <c r="H27" s="301" t="s">
        <v>223</v>
      </c>
      <c r="I27" s="301" t="s">
        <v>224</v>
      </c>
      <c r="J27" s="301" t="s">
        <v>66</v>
      </c>
      <c r="K27" s="301" t="s">
        <v>223</v>
      </c>
      <c r="L27" s="301" t="s">
        <v>224</v>
      </c>
      <c r="M27" s="301" t="s">
        <v>66</v>
      </c>
      <c r="N27" s="301" t="s">
        <v>223</v>
      </c>
      <c r="O27" s="301" t="s">
        <v>224</v>
      </c>
      <c r="P27" s="301" t="s">
        <v>66</v>
      </c>
      <c r="Q27" s="301" t="s">
        <v>223</v>
      </c>
      <c r="R27" s="301" t="s">
        <v>224</v>
      </c>
      <c r="S27" s="301" t="s">
        <v>66</v>
      </c>
      <c r="T27" s="307" t="s">
        <v>225</v>
      </c>
      <c r="U27" s="421" t="s">
        <v>263</v>
      </c>
      <c r="V27" s="265"/>
    </row>
    <row r="28">
      <c r="A28" s="264"/>
      <c r="B28" s="308"/>
      <c r="C28" s="309">
        <v>1.0</v>
      </c>
      <c r="D28" s="373" t="s">
        <v>167</v>
      </c>
      <c r="E28" s="374">
        <v>10.0</v>
      </c>
      <c r="F28" s="375">
        <v>60.0</v>
      </c>
      <c r="G28" s="384"/>
      <c r="H28" s="376">
        <v>10.0</v>
      </c>
      <c r="I28" s="375">
        <v>55.0</v>
      </c>
      <c r="J28" s="317"/>
      <c r="K28" s="311"/>
      <c r="L28" s="312"/>
      <c r="M28" s="318"/>
      <c r="N28" s="342"/>
      <c r="O28" s="432"/>
      <c r="P28" s="432"/>
      <c r="Q28" s="317"/>
      <c r="R28" s="317"/>
      <c r="S28" s="211"/>
      <c r="T28" s="426">
        <f t="shared" ref="T28:T33" si="2">(E28*F28)+(H28*I28)</f>
        <v>1150</v>
      </c>
      <c r="U28" s="422"/>
      <c r="V28" s="265"/>
    </row>
    <row r="29">
      <c r="A29" s="264"/>
      <c r="B29" s="308"/>
      <c r="C29" s="330">
        <v>2.0</v>
      </c>
      <c r="D29" s="377" t="s">
        <v>189</v>
      </c>
      <c r="E29" s="378">
        <v>12.0</v>
      </c>
      <c r="F29" s="379">
        <v>20.0</v>
      </c>
      <c r="G29" s="380"/>
      <c r="H29" s="381">
        <v>10.0</v>
      </c>
      <c r="I29" s="379">
        <v>25.0</v>
      </c>
      <c r="J29" s="339"/>
      <c r="K29" s="332">
        <v>14.0</v>
      </c>
      <c r="L29" s="333">
        <v>25.0</v>
      </c>
      <c r="M29" s="336"/>
      <c r="N29" s="333"/>
      <c r="O29" s="434"/>
      <c r="P29" s="434"/>
      <c r="Q29" s="336"/>
      <c r="R29" s="338"/>
      <c r="S29" s="429"/>
      <c r="T29" s="426">
        <f t="shared" si="2"/>
        <v>490</v>
      </c>
      <c r="U29" s="422"/>
      <c r="V29" s="265"/>
    </row>
    <row r="30">
      <c r="A30" s="264"/>
      <c r="B30" s="308"/>
      <c r="C30" s="309">
        <v>3.0</v>
      </c>
      <c r="D30" s="382" t="s">
        <v>190</v>
      </c>
      <c r="E30" s="374">
        <v>12.0</v>
      </c>
      <c r="F30" s="383">
        <v>40.0</v>
      </c>
      <c r="G30" s="384"/>
      <c r="H30" s="385">
        <v>16.0</v>
      </c>
      <c r="I30" s="383">
        <v>45.0</v>
      </c>
      <c r="J30" s="344"/>
      <c r="K30" s="311"/>
      <c r="L30" s="342"/>
      <c r="M30" s="318"/>
      <c r="N30" s="342"/>
      <c r="O30" s="432"/>
      <c r="P30" s="432"/>
      <c r="Q30" s="318"/>
      <c r="R30" s="346"/>
      <c r="S30" s="223"/>
      <c r="T30" s="426">
        <f t="shared" si="2"/>
        <v>1200</v>
      </c>
      <c r="U30" s="422"/>
      <c r="V30" s="265"/>
    </row>
    <row r="31">
      <c r="A31" s="264"/>
      <c r="B31" s="308"/>
      <c r="C31" s="330">
        <v>4.0</v>
      </c>
      <c r="D31" s="377" t="s">
        <v>191</v>
      </c>
      <c r="E31" s="378">
        <v>10.0</v>
      </c>
      <c r="F31" s="379">
        <v>120.0</v>
      </c>
      <c r="G31" s="380"/>
      <c r="H31" s="439">
        <v>9.0</v>
      </c>
      <c r="I31" s="379">
        <v>120.0</v>
      </c>
      <c r="J31" s="339"/>
      <c r="K31" s="332"/>
      <c r="L31" s="333"/>
      <c r="M31" s="336"/>
      <c r="N31" s="333"/>
      <c r="O31" s="435"/>
      <c r="P31" s="435"/>
      <c r="Q31" s="339"/>
      <c r="R31" s="338"/>
      <c r="S31" s="430"/>
      <c r="T31" s="426">
        <f t="shared" si="2"/>
        <v>2280</v>
      </c>
      <c r="U31" s="422"/>
      <c r="V31" s="265"/>
    </row>
    <row r="32">
      <c r="A32" s="264"/>
      <c r="B32" s="308"/>
      <c r="C32" s="309">
        <v>5.0</v>
      </c>
      <c r="D32" s="382" t="s">
        <v>192</v>
      </c>
      <c r="E32" s="374">
        <v>6.0</v>
      </c>
      <c r="F32" s="383">
        <v>80.0</v>
      </c>
      <c r="G32" s="384"/>
      <c r="H32" s="385">
        <v>8.0</v>
      </c>
      <c r="I32" s="383">
        <v>70.0</v>
      </c>
      <c r="J32" s="344"/>
      <c r="K32" s="311"/>
      <c r="L32" s="342"/>
      <c r="M32" s="318"/>
      <c r="N32" s="342"/>
      <c r="O32" s="437"/>
      <c r="P32" s="437"/>
      <c r="Q32" s="344"/>
      <c r="R32" s="346"/>
      <c r="S32" s="249"/>
      <c r="T32" s="426">
        <f t="shared" si="2"/>
        <v>1040</v>
      </c>
      <c r="U32" s="422"/>
      <c r="V32" s="265"/>
    </row>
    <row r="33">
      <c r="A33" s="264"/>
      <c r="B33" s="361"/>
      <c r="C33" s="330">
        <v>6.0</v>
      </c>
      <c r="D33" s="331" t="s">
        <v>267</v>
      </c>
      <c r="E33" s="378">
        <v>8.0</v>
      </c>
      <c r="F33" s="379">
        <v>40.0</v>
      </c>
      <c r="G33" s="380"/>
      <c r="H33" s="381">
        <v>8.0</v>
      </c>
      <c r="I33" s="379">
        <v>40.0</v>
      </c>
      <c r="J33" s="339"/>
      <c r="K33" s="332"/>
      <c r="L33" s="338"/>
      <c r="M33" s="336"/>
      <c r="N33" s="338"/>
      <c r="O33" s="434"/>
      <c r="P33" s="434"/>
      <c r="Q33" s="336"/>
      <c r="R33" s="338"/>
      <c r="S33" s="429"/>
      <c r="T33" s="426">
        <f t="shared" si="2"/>
        <v>640</v>
      </c>
      <c r="U33" s="422"/>
      <c r="V33" s="265"/>
    </row>
    <row r="34" ht="42.75" customHeight="1">
      <c r="A34" s="264"/>
      <c r="B34" s="368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</row>
    <row r="35">
      <c r="A35" s="264"/>
      <c r="B35" s="265"/>
      <c r="C35" s="294" t="s">
        <v>209</v>
      </c>
      <c r="D35" s="295"/>
      <c r="E35" s="296" t="s">
        <v>248</v>
      </c>
      <c r="F35" s="297"/>
      <c r="G35" s="297"/>
      <c r="H35" s="297"/>
      <c r="I35" s="297"/>
      <c r="J35" s="297"/>
      <c r="K35" s="297"/>
      <c r="L35" s="297"/>
      <c r="M35" s="282"/>
      <c r="N35" s="298" t="s">
        <v>211</v>
      </c>
      <c r="O35" s="268"/>
      <c r="P35" s="57"/>
      <c r="Q35" s="286"/>
      <c r="R35" s="268"/>
      <c r="S35" s="57"/>
      <c r="T35" s="292"/>
      <c r="U35" s="265"/>
      <c r="V35" s="265"/>
    </row>
    <row r="36">
      <c r="A36" s="264"/>
      <c r="B36" s="265"/>
      <c r="C36" s="301" t="s">
        <v>214</v>
      </c>
      <c r="D36" s="372">
        <v>45934.0</v>
      </c>
      <c r="E36" s="303" t="s">
        <v>215</v>
      </c>
      <c r="F36" s="22"/>
      <c r="G36" s="28"/>
      <c r="H36" s="304" t="s">
        <v>216</v>
      </c>
      <c r="I36" s="297"/>
      <c r="J36" s="282"/>
      <c r="K36" s="304" t="s">
        <v>217</v>
      </c>
      <c r="L36" s="297"/>
      <c r="M36" s="282"/>
      <c r="N36" s="304" t="s">
        <v>218</v>
      </c>
      <c r="O36" s="297"/>
      <c r="P36" s="282"/>
      <c r="Q36" s="304" t="s">
        <v>219</v>
      </c>
      <c r="R36" s="297"/>
      <c r="S36" s="282"/>
      <c r="T36" s="265"/>
      <c r="U36" s="265"/>
      <c r="V36" s="265"/>
    </row>
    <row r="37">
      <c r="A37" s="264"/>
      <c r="B37" s="457" t="s">
        <v>242</v>
      </c>
      <c r="C37" s="306" t="s">
        <v>221</v>
      </c>
      <c r="D37" s="306" t="s">
        <v>222</v>
      </c>
      <c r="E37" s="301" t="s">
        <v>223</v>
      </c>
      <c r="F37" s="301" t="s">
        <v>224</v>
      </c>
      <c r="G37" s="301" t="s">
        <v>66</v>
      </c>
      <c r="H37" s="301" t="s">
        <v>223</v>
      </c>
      <c r="I37" s="301" t="s">
        <v>224</v>
      </c>
      <c r="J37" s="301" t="s">
        <v>66</v>
      </c>
      <c r="K37" s="301" t="s">
        <v>223</v>
      </c>
      <c r="L37" s="301" t="s">
        <v>224</v>
      </c>
      <c r="M37" s="301" t="s">
        <v>66</v>
      </c>
      <c r="N37" s="301" t="s">
        <v>223</v>
      </c>
      <c r="O37" s="301" t="s">
        <v>224</v>
      </c>
      <c r="P37" s="301" t="s">
        <v>66</v>
      </c>
      <c r="Q37" s="301" t="s">
        <v>223</v>
      </c>
      <c r="R37" s="301" t="s">
        <v>224</v>
      </c>
      <c r="S37" s="301" t="s">
        <v>66</v>
      </c>
      <c r="T37" s="307" t="s">
        <v>225</v>
      </c>
      <c r="U37" s="421" t="s">
        <v>263</v>
      </c>
      <c r="V37" s="265"/>
    </row>
    <row r="38" ht="33.75" customHeight="1">
      <c r="A38" s="264"/>
      <c r="B38" s="308"/>
      <c r="C38" s="309">
        <v>1.0</v>
      </c>
      <c r="D38" s="373" t="s">
        <v>130</v>
      </c>
      <c r="E38" s="259">
        <v>12.0</v>
      </c>
      <c r="F38" s="375">
        <v>12.0</v>
      </c>
      <c r="G38" s="384"/>
      <c r="H38" s="376">
        <v>11.0</v>
      </c>
      <c r="I38" s="375">
        <v>12.0</v>
      </c>
      <c r="J38" s="317"/>
      <c r="K38" s="311"/>
      <c r="L38" s="312"/>
      <c r="M38" s="318"/>
      <c r="N38" s="315"/>
      <c r="O38" s="316"/>
      <c r="P38" s="317"/>
      <c r="Q38" s="318"/>
      <c r="R38" s="316"/>
      <c r="S38" s="318"/>
      <c r="T38" s="319">
        <f t="shared" ref="T38:T44" si="3">(E38*F38)+(H38*I38)+(K38*L38)+(N38*O38)+(Q38*R38)</f>
        <v>276</v>
      </c>
      <c r="U38" s="422"/>
      <c r="V38" s="265"/>
    </row>
    <row r="39" ht="33.75" customHeight="1">
      <c r="A39" s="264"/>
      <c r="B39" s="308"/>
      <c r="C39" s="330">
        <v>2.0</v>
      </c>
      <c r="D39" s="377" t="s">
        <v>183</v>
      </c>
      <c r="E39" s="423">
        <v>16.0</v>
      </c>
      <c r="F39" s="379">
        <v>17.0</v>
      </c>
      <c r="G39" s="380"/>
      <c r="H39" s="381">
        <v>14.0</v>
      </c>
      <c r="I39" s="379">
        <v>17.0</v>
      </c>
      <c r="J39" s="339"/>
      <c r="K39" s="332"/>
      <c r="L39" s="333"/>
      <c r="M39" s="336"/>
      <c r="N39" s="337"/>
      <c r="O39" s="338"/>
      <c r="P39" s="339"/>
      <c r="Q39" s="336"/>
      <c r="R39" s="338"/>
      <c r="S39" s="336"/>
      <c r="T39" s="319">
        <f t="shared" si="3"/>
        <v>510</v>
      </c>
      <c r="U39" s="422"/>
      <c r="V39" s="265"/>
    </row>
    <row r="40" ht="33.75" customHeight="1">
      <c r="A40" s="264"/>
      <c r="B40" s="308"/>
      <c r="C40" s="309">
        <v>3.0</v>
      </c>
      <c r="D40" s="382" t="s">
        <v>131</v>
      </c>
      <c r="E40" s="259">
        <v>12.0</v>
      </c>
      <c r="F40" s="383">
        <v>50.0</v>
      </c>
      <c r="G40" s="384"/>
      <c r="H40" s="385">
        <v>12.0</v>
      </c>
      <c r="I40" s="383">
        <v>50.0</v>
      </c>
      <c r="J40" s="344"/>
      <c r="K40" s="311"/>
      <c r="L40" s="342"/>
      <c r="M40" s="318"/>
      <c r="N40" s="345"/>
      <c r="O40" s="346"/>
      <c r="P40" s="344"/>
      <c r="Q40" s="318"/>
      <c r="R40" s="346"/>
      <c r="S40" s="318"/>
      <c r="T40" s="319">
        <f t="shared" si="3"/>
        <v>1200</v>
      </c>
      <c r="U40" s="422"/>
      <c r="V40" s="265"/>
    </row>
    <row r="41" ht="33.75" customHeight="1">
      <c r="A41" s="264"/>
      <c r="B41" s="308"/>
      <c r="C41" s="330">
        <v>4.0</v>
      </c>
      <c r="D41" s="377" t="s">
        <v>106</v>
      </c>
      <c r="E41" s="423">
        <v>9.0</v>
      </c>
      <c r="F41" s="379">
        <v>80.0</v>
      </c>
      <c r="G41" s="380"/>
      <c r="H41" s="381">
        <v>8.0</v>
      </c>
      <c r="I41" s="379">
        <v>70.0</v>
      </c>
      <c r="J41" s="339"/>
      <c r="K41" s="332"/>
      <c r="L41" s="333"/>
      <c r="M41" s="336"/>
      <c r="N41" s="337"/>
      <c r="O41" s="338"/>
      <c r="P41" s="339"/>
      <c r="Q41" s="336"/>
      <c r="R41" s="338"/>
      <c r="S41" s="336"/>
      <c r="T41" s="319">
        <f t="shared" si="3"/>
        <v>1280</v>
      </c>
      <c r="U41" s="422"/>
      <c r="V41" s="265"/>
    </row>
    <row r="42" ht="33.75" customHeight="1">
      <c r="A42" s="264"/>
      <c r="B42" s="308"/>
      <c r="C42" s="309">
        <v>5.0</v>
      </c>
      <c r="D42" s="382" t="s">
        <v>185</v>
      </c>
      <c r="E42" s="244">
        <v>12.0</v>
      </c>
      <c r="F42" s="383">
        <v>30.0</v>
      </c>
      <c r="G42" s="384"/>
      <c r="H42" s="385">
        <v>14.0</v>
      </c>
      <c r="I42" s="383">
        <v>30.0</v>
      </c>
      <c r="J42" s="344"/>
      <c r="K42" s="311"/>
      <c r="L42" s="342"/>
      <c r="M42" s="318"/>
      <c r="N42" s="345"/>
      <c r="O42" s="346"/>
      <c r="P42" s="344"/>
      <c r="Q42" s="318"/>
      <c r="R42" s="346"/>
      <c r="S42" s="318"/>
      <c r="T42" s="319">
        <f t="shared" si="3"/>
        <v>780</v>
      </c>
      <c r="U42" s="422"/>
      <c r="V42" s="265"/>
    </row>
    <row r="43" ht="33.75" customHeight="1">
      <c r="A43" s="264"/>
      <c r="B43" s="308"/>
      <c r="C43" s="330">
        <v>6.0</v>
      </c>
      <c r="D43" s="331" t="s">
        <v>186</v>
      </c>
      <c r="E43" s="423">
        <v>12.0</v>
      </c>
      <c r="F43" s="379">
        <v>70.0</v>
      </c>
      <c r="G43" s="380"/>
      <c r="H43" s="381">
        <v>16.0</v>
      </c>
      <c r="I43" s="379">
        <v>70.0</v>
      </c>
      <c r="J43" s="339"/>
      <c r="K43" s="332"/>
      <c r="L43" s="338"/>
      <c r="M43" s="336"/>
      <c r="N43" s="337"/>
      <c r="O43" s="338"/>
      <c r="P43" s="339"/>
      <c r="Q43" s="336"/>
      <c r="R43" s="338"/>
      <c r="S43" s="336"/>
      <c r="T43" s="319">
        <f t="shared" si="3"/>
        <v>1960</v>
      </c>
      <c r="U43" s="422"/>
      <c r="V43" s="265"/>
    </row>
    <row r="44" ht="33.75" customHeight="1">
      <c r="A44" s="264"/>
      <c r="B44" s="361"/>
      <c r="C44" s="309">
        <v>7.0</v>
      </c>
      <c r="D44" s="382" t="s">
        <v>187</v>
      </c>
      <c r="E44" s="259">
        <v>12.0</v>
      </c>
      <c r="F44" s="342">
        <v>10.0</v>
      </c>
      <c r="G44" s="318"/>
      <c r="H44" s="343">
        <v>10.0</v>
      </c>
      <c r="I44" s="342">
        <v>15.0</v>
      </c>
      <c r="J44" s="344"/>
      <c r="K44" s="311"/>
      <c r="L44" s="342"/>
      <c r="M44" s="318"/>
      <c r="N44" s="345"/>
      <c r="O44" s="346"/>
      <c r="P44" s="344"/>
      <c r="Q44" s="318"/>
      <c r="R44" s="346"/>
      <c r="S44" s="318"/>
      <c r="T44" s="319">
        <f t="shared" si="3"/>
        <v>270</v>
      </c>
      <c r="U44" s="422"/>
      <c r="V44" s="265"/>
    </row>
    <row r="45" ht="33.0" customHeight="1">
      <c r="A45" s="264"/>
      <c r="B45" s="368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92"/>
      <c r="R45" s="265"/>
      <c r="S45" s="265"/>
      <c r="T45" s="265"/>
      <c r="U45" s="265"/>
      <c r="V45" s="265"/>
    </row>
    <row r="46">
      <c r="A46" s="264"/>
      <c r="B46" s="265"/>
      <c r="C46" s="294" t="s">
        <v>209</v>
      </c>
      <c r="D46" s="295"/>
      <c r="E46" s="296" t="s">
        <v>233</v>
      </c>
      <c r="F46" s="297"/>
      <c r="G46" s="297"/>
      <c r="H46" s="297"/>
      <c r="I46" s="297"/>
      <c r="J46" s="297"/>
      <c r="K46" s="297"/>
      <c r="L46" s="297"/>
      <c r="M46" s="282"/>
      <c r="N46" s="298" t="s">
        <v>211</v>
      </c>
      <c r="O46" s="268"/>
      <c r="P46" s="57"/>
      <c r="Q46" s="286"/>
      <c r="R46" s="268"/>
      <c r="S46" s="57"/>
      <c r="T46" s="292"/>
      <c r="U46" s="265"/>
      <c r="V46" s="265"/>
    </row>
    <row r="47">
      <c r="A47" s="264"/>
      <c r="B47" s="265"/>
      <c r="C47" s="301" t="s">
        <v>214</v>
      </c>
      <c r="D47" s="372">
        <v>45937.0</v>
      </c>
      <c r="E47" s="303" t="s">
        <v>215</v>
      </c>
      <c r="F47" s="22"/>
      <c r="G47" s="28"/>
      <c r="H47" s="304" t="s">
        <v>216</v>
      </c>
      <c r="I47" s="297"/>
      <c r="J47" s="282"/>
      <c r="K47" s="304" t="s">
        <v>217</v>
      </c>
      <c r="L47" s="297"/>
      <c r="M47" s="282"/>
      <c r="N47" s="304" t="s">
        <v>218</v>
      </c>
      <c r="O47" s="297"/>
      <c r="P47" s="282"/>
      <c r="Q47" s="304" t="s">
        <v>219</v>
      </c>
      <c r="R47" s="297"/>
      <c r="S47" s="282"/>
      <c r="T47" s="265"/>
      <c r="U47" s="265"/>
      <c r="V47" s="265"/>
    </row>
    <row r="48">
      <c r="A48" s="264"/>
      <c r="B48" s="458" t="s">
        <v>245</v>
      </c>
      <c r="C48" s="306" t="s">
        <v>221</v>
      </c>
      <c r="D48" s="306" t="s">
        <v>222</v>
      </c>
      <c r="E48" s="301" t="s">
        <v>223</v>
      </c>
      <c r="F48" s="301" t="s">
        <v>224</v>
      </c>
      <c r="G48" s="301" t="s">
        <v>66</v>
      </c>
      <c r="H48" s="301" t="s">
        <v>223</v>
      </c>
      <c r="I48" s="301" t="s">
        <v>224</v>
      </c>
      <c r="J48" s="301" t="s">
        <v>66</v>
      </c>
      <c r="K48" s="301" t="s">
        <v>223</v>
      </c>
      <c r="L48" s="301" t="s">
        <v>224</v>
      </c>
      <c r="M48" s="301" t="s">
        <v>66</v>
      </c>
      <c r="N48" s="301" t="s">
        <v>223</v>
      </c>
      <c r="O48" s="301" t="s">
        <v>224</v>
      </c>
      <c r="P48" s="301" t="s">
        <v>66</v>
      </c>
      <c r="Q48" s="301" t="s">
        <v>223</v>
      </c>
      <c r="R48" s="301" t="s">
        <v>224</v>
      </c>
      <c r="S48" s="301" t="s">
        <v>66</v>
      </c>
      <c r="T48" s="307" t="s">
        <v>225</v>
      </c>
      <c r="U48" s="421" t="s">
        <v>263</v>
      </c>
      <c r="V48" s="265"/>
    </row>
    <row r="49" ht="33.75" customHeight="1">
      <c r="A49" s="264"/>
      <c r="B49" s="308"/>
      <c r="C49" s="309">
        <v>1.0</v>
      </c>
      <c r="D49" s="373" t="s">
        <v>104</v>
      </c>
      <c r="E49" s="374">
        <v>12.0</v>
      </c>
      <c r="F49" s="312">
        <v>10.0</v>
      </c>
      <c r="G49" s="374">
        <v>1.0</v>
      </c>
      <c r="H49" s="376">
        <v>12.0</v>
      </c>
      <c r="I49" s="312">
        <v>10.0</v>
      </c>
      <c r="J49" s="317">
        <v>0.0</v>
      </c>
      <c r="K49" s="311"/>
      <c r="L49" s="312"/>
      <c r="M49" s="318"/>
      <c r="N49" s="315"/>
      <c r="O49" s="316"/>
      <c r="P49" s="317"/>
      <c r="Q49" s="318"/>
      <c r="R49" s="316"/>
      <c r="S49" s="318"/>
      <c r="T49" s="319">
        <f t="shared" ref="T49:T55" si="4">(E49*F49)+(H49*I49)+(K49*L49)+(N49*O49)+(Q49*R49)</f>
        <v>240</v>
      </c>
      <c r="U49" s="422"/>
      <c r="V49" s="265"/>
    </row>
    <row r="50" ht="33.75" customHeight="1">
      <c r="A50" s="264"/>
      <c r="B50" s="308"/>
      <c r="C50" s="330">
        <v>2.0</v>
      </c>
      <c r="D50" s="377" t="s">
        <v>145</v>
      </c>
      <c r="E50" s="378">
        <v>10.0</v>
      </c>
      <c r="F50" s="333">
        <v>80.0</v>
      </c>
      <c r="G50" s="378">
        <v>1.0</v>
      </c>
      <c r="H50" s="381">
        <v>8.0</v>
      </c>
      <c r="I50" s="333">
        <v>80.0</v>
      </c>
      <c r="J50" s="339">
        <v>0.0</v>
      </c>
      <c r="K50" s="332"/>
      <c r="L50" s="333"/>
      <c r="M50" s="336"/>
      <c r="N50" s="337"/>
      <c r="O50" s="338"/>
      <c r="P50" s="339"/>
      <c r="Q50" s="336"/>
      <c r="R50" s="338"/>
      <c r="S50" s="336"/>
      <c r="T50" s="319">
        <f t="shared" si="4"/>
        <v>1440</v>
      </c>
      <c r="U50" s="422"/>
      <c r="V50" s="265"/>
    </row>
    <row r="51" ht="33.75" customHeight="1">
      <c r="A51" s="264"/>
      <c r="B51" s="308"/>
      <c r="C51" s="309">
        <v>3.0</v>
      </c>
      <c r="D51" s="382" t="s">
        <v>146</v>
      </c>
      <c r="E51" s="374">
        <v>6.0</v>
      </c>
      <c r="F51" s="342">
        <v>26.0</v>
      </c>
      <c r="G51" s="374">
        <v>0.0</v>
      </c>
      <c r="H51" s="385">
        <v>5.0</v>
      </c>
      <c r="I51" s="342">
        <v>24.0</v>
      </c>
      <c r="J51" s="344">
        <v>0.0</v>
      </c>
      <c r="K51" s="311"/>
      <c r="L51" s="342"/>
      <c r="M51" s="318"/>
      <c r="N51" s="345"/>
      <c r="O51" s="346"/>
      <c r="P51" s="344"/>
      <c r="Q51" s="318"/>
      <c r="R51" s="346"/>
      <c r="S51" s="318"/>
      <c r="T51" s="319">
        <f t="shared" si="4"/>
        <v>276</v>
      </c>
      <c r="U51" s="422"/>
      <c r="V51" s="265"/>
    </row>
    <row r="52" ht="33.75" customHeight="1">
      <c r="A52" s="264"/>
      <c r="B52" s="308"/>
      <c r="C52" s="330">
        <v>4.0</v>
      </c>
      <c r="D52" s="377" t="s">
        <v>76</v>
      </c>
      <c r="E52" s="378">
        <v>10.0</v>
      </c>
      <c r="F52" s="333">
        <v>10.0</v>
      </c>
      <c r="G52" s="378">
        <v>0.0</v>
      </c>
      <c r="H52" s="381">
        <v>16.0</v>
      </c>
      <c r="I52" s="333">
        <v>7.5</v>
      </c>
      <c r="J52" s="339">
        <v>0.0</v>
      </c>
      <c r="K52" s="332"/>
      <c r="L52" s="333"/>
      <c r="M52" s="336"/>
      <c r="N52" s="337"/>
      <c r="O52" s="338"/>
      <c r="P52" s="339"/>
      <c r="Q52" s="336"/>
      <c r="R52" s="338"/>
      <c r="S52" s="336"/>
      <c r="T52" s="319">
        <f t="shared" si="4"/>
        <v>220</v>
      </c>
      <c r="U52" s="422"/>
      <c r="V52" s="265"/>
    </row>
    <row r="53" ht="33.75" customHeight="1">
      <c r="A53" s="264"/>
      <c r="B53" s="308"/>
      <c r="C53" s="309">
        <v>5.0</v>
      </c>
      <c r="D53" s="382" t="s">
        <v>147</v>
      </c>
      <c r="E53" s="374">
        <v>14.0</v>
      </c>
      <c r="F53" s="342">
        <v>5.0</v>
      </c>
      <c r="G53" s="374">
        <v>2.0</v>
      </c>
      <c r="H53" s="385">
        <v>16.0</v>
      </c>
      <c r="I53" s="342">
        <v>5.0</v>
      </c>
      <c r="J53" s="344">
        <v>1.0</v>
      </c>
      <c r="K53" s="311"/>
      <c r="L53" s="342"/>
      <c r="M53" s="318"/>
      <c r="N53" s="345"/>
      <c r="O53" s="346"/>
      <c r="P53" s="344"/>
      <c r="Q53" s="318"/>
      <c r="R53" s="346"/>
      <c r="S53" s="318"/>
      <c r="T53" s="319">
        <f t="shared" si="4"/>
        <v>150</v>
      </c>
      <c r="U53" s="422"/>
      <c r="V53" s="265"/>
    </row>
    <row r="54" ht="33.75" customHeight="1">
      <c r="A54" s="264"/>
      <c r="B54" s="308"/>
      <c r="C54" s="330">
        <v>6.0</v>
      </c>
      <c r="D54" s="331" t="s">
        <v>149</v>
      </c>
      <c r="E54" s="378">
        <v>12.0</v>
      </c>
      <c r="F54" s="333">
        <v>20.0</v>
      </c>
      <c r="G54" s="378">
        <v>2.0</v>
      </c>
      <c r="H54" s="381">
        <v>12.0</v>
      </c>
      <c r="I54" s="333">
        <v>20.0</v>
      </c>
      <c r="J54" s="339">
        <v>1.0</v>
      </c>
      <c r="K54" s="332"/>
      <c r="L54" s="338"/>
      <c r="M54" s="336"/>
      <c r="N54" s="337"/>
      <c r="O54" s="338"/>
      <c r="P54" s="339"/>
      <c r="Q54" s="336"/>
      <c r="R54" s="338"/>
      <c r="S54" s="336"/>
      <c r="T54" s="319">
        <f t="shared" si="4"/>
        <v>480</v>
      </c>
      <c r="U54" s="422"/>
      <c r="V54" s="265"/>
    </row>
    <row r="55" ht="33.75" customHeight="1">
      <c r="A55" s="264"/>
      <c r="B55" s="361"/>
      <c r="C55" s="309">
        <v>7.0</v>
      </c>
      <c r="D55" s="382" t="s">
        <v>151</v>
      </c>
      <c r="E55" s="343">
        <v>12.0</v>
      </c>
      <c r="F55" s="342">
        <v>5.0</v>
      </c>
      <c r="G55" s="311">
        <v>0.0</v>
      </c>
      <c r="H55" s="343">
        <v>16.0</v>
      </c>
      <c r="I55" s="342">
        <v>4.5</v>
      </c>
      <c r="J55" s="344">
        <v>0.0</v>
      </c>
      <c r="K55" s="311"/>
      <c r="L55" s="342"/>
      <c r="M55" s="318"/>
      <c r="N55" s="345"/>
      <c r="O55" s="346"/>
      <c r="P55" s="344"/>
      <c r="Q55" s="318"/>
      <c r="R55" s="346"/>
      <c r="S55" s="318"/>
      <c r="T55" s="319">
        <f t="shared" si="4"/>
        <v>132</v>
      </c>
      <c r="U55" s="422"/>
      <c r="V55" s="265"/>
    </row>
    <row r="56" ht="30.0" customHeight="1">
      <c r="A56" s="264"/>
      <c r="B56" s="368"/>
      <c r="C56" s="265"/>
      <c r="D56" s="265"/>
      <c r="E56" s="265"/>
      <c r="F56" s="265"/>
      <c r="G56" s="265"/>
      <c r="H56" s="265"/>
      <c r="I56" s="265"/>
      <c r="J56" s="292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</row>
    <row r="57">
      <c r="A57" s="264"/>
      <c r="B57" s="265"/>
      <c r="C57" s="294" t="s">
        <v>209</v>
      </c>
      <c r="D57" s="295"/>
      <c r="E57" s="296" t="s">
        <v>241</v>
      </c>
      <c r="F57" s="297"/>
      <c r="G57" s="297"/>
      <c r="H57" s="297"/>
      <c r="I57" s="297"/>
      <c r="J57" s="297"/>
      <c r="K57" s="297"/>
      <c r="L57" s="297"/>
      <c r="M57" s="282"/>
      <c r="N57" s="298" t="s">
        <v>211</v>
      </c>
      <c r="O57" s="268"/>
      <c r="P57" s="57"/>
      <c r="Q57" s="286"/>
      <c r="R57" s="268"/>
      <c r="S57" s="57"/>
      <c r="T57" s="292"/>
      <c r="U57" s="265"/>
      <c r="V57" s="265"/>
    </row>
    <row r="58">
      <c r="A58" s="264"/>
      <c r="B58" s="265"/>
      <c r="C58" s="301" t="s">
        <v>214</v>
      </c>
      <c r="D58" s="302">
        <v>45938.0</v>
      </c>
      <c r="E58" s="303" t="s">
        <v>215</v>
      </c>
      <c r="F58" s="22"/>
      <c r="G58" s="28"/>
      <c r="H58" s="304" t="s">
        <v>216</v>
      </c>
      <c r="I58" s="297"/>
      <c r="J58" s="282"/>
      <c r="K58" s="304"/>
      <c r="L58" s="297"/>
      <c r="M58" s="282"/>
      <c r="N58" s="304"/>
      <c r="O58" s="297"/>
      <c r="P58" s="282"/>
      <c r="Q58" s="304" t="s">
        <v>219</v>
      </c>
      <c r="R58" s="297"/>
      <c r="S58" s="282"/>
      <c r="T58" s="265"/>
      <c r="U58" s="265"/>
      <c r="V58" s="265"/>
    </row>
    <row r="59">
      <c r="A59" s="264"/>
      <c r="B59" s="458" t="s">
        <v>247</v>
      </c>
      <c r="C59" s="306" t="s">
        <v>221</v>
      </c>
      <c r="D59" s="406" t="s">
        <v>222</v>
      </c>
      <c r="E59" s="301" t="s">
        <v>223</v>
      </c>
      <c r="F59" s="301" t="s">
        <v>224</v>
      </c>
      <c r="G59" s="301" t="s">
        <v>66</v>
      </c>
      <c r="H59" s="301" t="s">
        <v>223</v>
      </c>
      <c r="I59" s="301" t="s">
        <v>224</v>
      </c>
      <c r="J59" s="301" t="s">
        <v>66</v>
      </c>
      <c r="K59" s="301" t="s">
        <v>64</v>
      </c>
      <c r="L59" s="301" t="s">
        <v>223</v>
      </c>
      <c r="M59" s="444" t="s">
        <v>266</v>
      </c>
      <c r="N59" s="282"/>
      <c r="O59" s="445" t="s">
        <v>68</v>
      </c>
      <c r="P59" s="301"/>
      <c r="Q59" s="301"/>
      <c r="R59" s="301"/>
      <c r="S59" s="301"/>
      <c r="T59" s="307" t="s">
        <v>225</v>
      </c>
      <c r="U59" s="421" t="s">
        <v>263</v>
      </c>
      <c r="V59" s="265"/>
    </row>
    <row r="60" ht="33.75" customHeight="1">
      <c r="A60" s="264"/>
      <c r="B60" s="308"/>
      <c r="C60" s="309">
        <v>1.0</v>
      </c>
      <c r="D60" s="360" t="s">
        <v>154</v>
      </c>
      <c r="E60" s="413">
        <v>10.0</v>
      </c>
      <c r="F60" s="442">
        <v>10.0</v>
      </c>
      <c r="G60" s="414"/>
      <c r="H60" s="413">
        <v>10.0</v>
      </c>
      <c r="I60" s="442">
        <v>10.0</v>
      </c>
      <c r="J60" s="317"/>
      <c r="K60" s="312">
        <v>2.0</v>
      </c>
      <c r="L60" s="209">
        <v>45573.0</v>
      </c>
      <c r="M60" s="218"/>
      <c r="N60" s="218"/>
      <c r="O60" s="316"/>
      <c r="P60" s="211"/>
      <c r="Q60" s="218"/>
      <c r="R60" s="418"/>
      <c r="S60" s="211"/>
      <c r="T60" s="425">
        <f t="shared" ref="T60:T66" si="5">(E60*F60)+(H60*I60)+(K60*L60)+(N60*O60)+(Q60*R60)</f>
        <v>91346</v>
      </c>
      <c r="U60" s="422"/>
      <c r="V60" s="265"/>
    </row>
    <row r="61" ht="33.75" customHeight="1">
      <c r="A61" s="264"/>
      <c r="B61" s="308"/>
      <c r="C61" s="330">
        <v>2.0</v>
      </c>
      <c r="D61" s="358" t="s">
        <v>155</v>
      </c>
      <c r="E61" s="427">
        <v>12.0</v>
      </c>
      <c r="F61" s="427">
        <v>20.0</v>
      </c>
      <c r="G61" s="416"/>
      <c r="H61" s="427">
        <v>13.0</v>
      </c>
      <c r="I61" s="427">
        <v>20.0</v>
      </c>
      <c r="J61" s="339"/>
      <c r="K61" s="333" t="s">
        <v>78</v>
      </c>
      <c r="L61" s="459">
        <v>45636.0</v>
      </c>
      <c r="M61" s="455" t="s">
        <v>73</v>
      </c>
      <c r="O61" s="338"/>
      <c r="P61" s="431"/>
      <c r="Q61" s="455"/>
      <c r="R61" s="460"/>
      <c r="S61" s="431"/>
      <c r="T61" s="461" t="str">
        <f t="shared" si="5"/>
        <v>#VALUE!</v>
      </c>
      <c r="U61" s="422"/>
      <c r="V61" s="265"/>
    </row>
    <row r="62" ht="33.75" customHeight="1">
      <c r="A62" s="264"/>
      <c r="B62" s="308"/>
      <c r="C62" s="309">
        <v>3.0</v>
      </c>
      <c r="D62" s="360" t="s">
        <v>156</v>
      </c>
      <c r="E62" s="428">
        <v>8.0</v>
      </c>
      <c r="F62" s="428">
        <v>60.0</v>
      </c>
      <c r="G62" s="418"/>
      <c r="H62" s="417">
        <v>8.0</v>
      </c>
      <c r="I62" s="428">
        <v>60.0</v>
      </c>
      <c r="J62" s="344"/>
      <c r="K62" s="342">
        <v>2.0</v>
      </c>
      <c r="L62" s="236">
        <v>45875.0</v>
      </c>
      <c r="M62" s="218"/>
      <c r="N62" s="218"/>
      <c r="O62" s="346"/>
      <c r="P62" s="223"/>
      <c r="Q62" s="218"/>
      <c r="R62" s="418"/>
      <c r="S62" s="223"/>
      <c r="T62" s="425">
        <f t="shared" si="5"/>
        <v>92710</v>
      </c>
      <c r="U62" s="422"/>
      <c r="V62" s="265"/>
    </row>
    <row r="63" ht="33.75" customHeight="1">
      <c r="A63" s="264"/>
      <c r="B63" s="308"/>
      <c r="C63" s="330">
        <v>4.0</v>
      </c>
      <c r="D63" s="358" t="s">
        <v>159</v>
      </c>
      <c r="E63" s="415">
        <v>12.0</v>
      </c>
      <c r="F63" s="427">
        <v>55.0</v>
      </c>
      <c r="G63" s="416"/>
      <c r="H63" s="415">
        <v>12.0</v>
      </c>
      <c r="I63" s="427">
        <v>50.0</v>
      </c>
      <c r="J63" s="339"/>
      <c r="K63" s="333">
        <v>2.0</v>
      </c>
      <c r="L63" s="459">
        <v>45636.0</v>
      </c>
      <c r="M63" s="462"/>
      <c r="N63" s="462"/>
      <c r="O63" s="338"/>
      <c r="P63" s="431"/>
      <c r="Q63" s="462"/>
      <c r="R63" s="416"/>
      <c r="S63" s="431"/>
      <c r="T63" s="425">
        <f t="shared" si="5"/>
        <v>92532</v>
      </c>
      <c r="U63" s="422"/>
      <c r="V63" s="265"/>
    </row>
    <row r="64" ht="33.75" customHeight="1">
      <c r="A64" s="264"/>
      <c r="B64" s="308"/>
      <c r="C64" s="309">
        <v>5.0</v>
      </c>
      <c r="D64" s="341" t="s">
        <v>265</v>
      </c>
      <c r="E64" s="428">
        <v>7.0</v>
      </c>
      <c r="F64" s="418"/>
      <c r="G64" s="418"/>
      <c r="H64" s="417">
        <v>5.0</v>
      </c>
      <c r="I64" s="418"/>
      <c r="J64" s="344"/>
      <c r="K64" s="342">
        <v>2.0</v>
      </c>
      <c r="L64" s="463">
        <v>45843.0</v>
      </c>
      <c r="M64" s="241"/>
      <c r="N64" s="241"/>
      <c r="O64" s="346"/>
      <c r="P64" s="242"/>
      <c r="Q64" s="241"/>
      <c r="R64" s="464"/>
      <c r="S64" s="242"/>
      <c r="T64" s="425">
        <f t="shared" si="5"/>
        <v>91686</v>
      </c>
      <c r="U64" s="422"/>
      <c r="V64" s="265"/>
    </row>
    <row r="65" ht="33.75" customHeight="1">
      <c r="A65" s="264"/>
      <c r="B65" s="308"/>
      <c r="C65" s="330">
        <v>6.0</v>
      </c>
      <c r="D65" s="358" t="s">
        <v>107</v>
      </c>
      <c r="E65" s="415">
        <v>16.0</v>
      </c>
      <c r="F65" s="415">
        <v>10.0</v>
      </c>
      <c r="G65" s="419"/>
      <c r="H65" s="415">
        <v>21.0</v>
      </c>
      <c r="I65" s="415">
        <v>10.0</v>
      </c>
      <c r="J65" s="339"/>
      <c r="K65" s="338" t="s">
        <v>78</v>
      </c>
      <c r="L65" s="436" t="s">
        <v>134</v>
      </c>
      <c r="M65" s="455" t="s">
        <v>73</v>
      </c>
      <c r="O65" s="338">
        <v>3100.0</v>
      </c>
      <c r="P65" s="430"/>
      <c r="Q65" s="455"/>
      <c r="R65" s="460"/>
      <c r="S65" s="430"/>
      <c r="T65" s="319" t="str">
        <f t="shared" si="5"/>
        <v>#VALUE!</v>
      </c>
      <c r="U65" s="422"/>
      <c r="V65" s="265"/>
    </row>
    <row r="66" ht="33.75" customHeight="1">
      <c r="A66" s="264"/>
      <c r="B66" s="361"/>
      <c r="C66" s="309">
        <v>7.0</v>
      </c>
      <c r="D66" s="360" t="s">
        <v>163</v>
      </c>
      <c r="E66" s="417">
        <v>16.0</v>
      </c>
      <c r="F66" s="417">
        <v>7.5</v>
      </c>
      <c r="G66" s="420"/>
      <c r="H66" s="417">
        <v>20.0</v>
      </c>
      <c r="I66" s="417">
        <v>7.5</v>
      </c>
      <c r="J66" s="344"/>
      <c r="K66" s="342" t="s">
        <v>78</v>
      </c>
      <c r="L66" s="244" t="s">
        <v>134</v>
      </c>
      <c r="M66" s="97" t="s">
        <v>73</v>
      </c>
      <c r="O66" s="346">
        <v>3101.0</v>
      </c>
      <c r="P66" s="246"/>
      <c r="Q66" s="97"/>
      <c r="R66" s="465"/>
      <c r="S66" s="246"/>
      <c r="T66" s="319" t="str">
        <f t="shared" si="5"/>
        <v>#VALUE!</v>
      </c>
      <c r="U66" s="422"/>
      <c r="V66" s="265"/>
    </row>
    <row r="67" ht="28.5" customHeight="1">
      <c r="A67" s="265"/>
      <c r="B67" s="265"/>
      <c r="C67" s="265"/>
      <c r="D67" s="265"/>
      <c r="E67" s="265"/>
      <c r="F67" s="265"/>
      <c r="G67" s="265"/>
      <c r="H67" s="265"/>
      <c r="I67" s="265"/>
      <c r="J67" s="292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</row>
    <row r="68">
      <c r="A68" s="265"/>
      <c r="B68" s="265"/>
      <c r="C68" s="294" t="s">
        <v>209</v>
      </c>
      <c r="D68" s="295"/>
      <c r="E68" s="296" t="s">
        <v>257</v>
      </c>
      <c r="F68" s="297"/>
      <c r="G68" s="297"/>
      <c r="H68" s="297"/>
      <c r="I68" s="297"/>
      <c r="J68" s="297"/>
      <c r="K68" s="297"/>
      <c r="L68" s="297"/>
      <c r="M68" s="282"/>
      <c r="N68" s="298" t="s">
        <v>211</v>
      </c>
      <c r="O68" s="268"/>
      <c r="P68" s="57"/>
      <c r="Q68" s="286"/>
      <c r="R68" s="268"/>
      <c r="S68" s="57"/>
      <c r="T68" s="292"/>
      <c r="U68" s="265"/>
      <c r="V68" s="265"/>
    </row>
    <row r="69">
      <c r="A69" s="402"/>
      <c r="B69" s="265"/>
      <c r="C69" s="301" t="s">
        <v>214</v>
      </c>
      <c r="D69" s="405">
        <v>45940.0</v>
      </c>
      <c r="E69" s="303" t="s">
        <v>215</v>
      </c>
      <c r="F69" s="22"/>
      <c r="G69" s="28"/>
      <c r="H69" s="304" t="s">
        <v>216</v>
      </c>
      <c r="I69" s="297"/>
      <c r="J69" s="282"/>
      <c r="K69" s="304" t="s">
        <v>217</v>
      </c>
      <c r="L69" s="297"/>
      <c r="M69" s="282"/>
      <c r="N69" s="304" t="s">
        <v>218</v>
      </c>
      <c r="O69" s="297"/>
      <c r="P69" s="282"/>
      <c r="Q69" s="304" t="s">
        <v>219</v>
      </c>
      <c r="R69" s="297"/>
      <c r="S69" s="282"/>
      <c r="T69" s="265"/>
      <c r="U69" s="265"/>
      <c r="V69" s="265"/>
    </row>
    <row r="70">
      <c r="A70" s="402"/>
      <c r="B70" s="457" t="s">
        <v>249</v>
      </c>
      <c r="C70" s="306" t="s">
        <v>221</v>
      </c>
      <c r="D70" s="306" t="s">
        <v>222</v>
      </c>
      <c r="E70" s="301" t="s">
        <v>223</v>
      </c>
      <c r="F70" s="301" t="s">
        <v>224</v>
      </c>
      <c r="G70" s="301" t="s">
        <v>66</v>
      </c>
      <c r="H70" s="301" t="s">
        <v>223</v>
      </c>
      <c r="I70" s="301" t="s">
        <v>224</v>
      </c>
      <c r="J70" s="301" t="s">
        <v>66</v>
      </c>
      <c r="K70" s="301" t="s">
        <v>223</v>
      </c>
      <c r="L70" s="301" t="s">
        <v>224</v>
      </c>
      <c r="M70" s="301" t="s">
        <v>66</v>
      </c>
      <c r="N70" s="301" t="s">
        <v>223</v>
      </c>
      <c r="O70" s="301" t="s">
        <v>224</v>
      </c>
      <c r="P70" s="301" t="s">
        <v>66</v>
      </c>
      <c r="Q70" s="301" t="s">
        <v>223</v>
      </c>
      <c r="R70" s="301" t="s">
        <v>224</v>
      </c>
      <c r="S70" s="301" t="s">
        <v>66</v>
      </c>
      <c r="T70" s="307" t="s">
        <v>225</v>
      </c>
      <c r="U70" s="421" t="s">
        <v>263</v>
      </c>
      <c r="V70" s="265"/>
    </row>
    <row r="71" ht="33.75" customHeight="1">
      <c r="A71" s="264"/>
      <c r="B71" s="308"/>
      <c r="C71" s="309">
        <v>1.0</v>
      </c>
      <c r="D71" s="373" t="s">
        <v>127</v>
      </c>
      <c r="E71" s="256">
        <v>8.0</v>
      </c>
      <c r="F71" s="312">
        <v>10.0</v>
      </c>
      <c r="G71" s="318"/>
      <c r="H71" s="313">
        <v>14.0</v>
      </c>
      <c r="I71" s="312">
        <v>7.0</v>
      </c>
      <c r="J71" s="317"/>
      <c r="K71" s="311"/>
      <c r="L71" s="312"/>
      <c r="M71" s="318"/>
      <c r="N71" s="315"/>
      <c r="O71" s="316"/>
      <c r="P71" s="317"/>
      <c r="Q71" s="318"/>
      <c r="R71" s="316"/>
      <c r="S71" s="318"/>
      <c r="T71" s="319">
        <f t="shared" ref="T71:T77" si="6">(E71*F71)+(H71*I71)+(K71*L71)+(N71*O71)+(Q71*R71)</f>
        <v>178</v>
      </c>
      <c r="U71" s="422"/>
      <c r="V71" s="265"/>
    </row>
    <row r="72" ht="33.75" customHeight="1">
      <c r="A72" s="264"/>
      <c r="B72" s="308"/>
      <c r="C72" s="330">
        <v>2.0</v>
      </c>
      <c r="D72" s="377" t="s">
        <v>178</v>
      </c>
      <c r="E72" s="423">
        <v>8.0</v>
      </c>
      <c r="F72" s="333">
        <v>40.0</v>
      </c>
      <c r="G72" s="336"/>
      <c r="H72" s="334">
        <v>7.0</v>
      </c>
      <c r="I72" s="333">
        <v>45.0</v>
      </c>
      <c r="J72" s="339"/>
      <c r="K72" s="332"/>
      <c r="L72" s="333"/>
      <c r="M72" s="336"/>
      <c r="N72" s="337"/>
      <c r="O72" s="338"/>
      <c r="P72" s="339"/>
      <c r="Q72" s="336"/>
      <c r="R72" s="338"/>
      <c r="S72" s="336"/>
      <c r="T72" s="319">
        <f t="shared" si="6"/>
        <v>635</v>
      </c>
      <c r="U72" s="422"/>
      <c r="V72" s="265"/>
    </row>
    <row r="73" ht="33.75" customHeight="1">
      <c r="A73" s="264"/>
      <c r="B73" s="308"/>
      <c r="C73" s="309">
        <v>3.0</v>
      </c>
      <c r="D73" s="382" t="s">
        <v>179</v>
      </c>
      <c r="E73" s="259">
        <v>8.0</v>
      </c>
      <c r="F73" s="383">
        <v>60.0</v>
      </c>
      <c r="G73" s="318"/>
      <c r="H73" s="343">
        <v>7.0</v>
      </c>
      <c r="I73" s="342">
        <v>60.0</v>
      </c>
      <c r="J73" s="344"/>
      <c r="K73" s="311"/>
      <c r="L73" s="342"/>
      <c r="M73" s="318"/>
      <c r="N73" s="345"/>
      <c r="O73" s="346"/>
      <c r="P73" s="344"/>
      <c r="Q73" s="318"/>
      <c r="R73" s="346"/>
      <c r="S73" s="318"/>
      <c r="T73" s="319">
        <f t="shared" si="6"/>
        <v>900</v>
      </c>
      <c r="U73" s="422"/>
      <c r="V73" s="265"/>
    </row>
    <row r="74" ht="33.75" customHeight="1">
      <c r="A74" s="264"/>
      <c r="B74" s="308"/>
      <c r="C74" s="330">
        <v>4.0</v>
      </c>
      <c r="D74" s="377" t="s">
        <v>180</v>
      </c>
      <c r="E74" s="423">
        <v>10.0</v>
      </c>
      <c r="F74" s="379">
        <v>30.0</v>
      </c>
      <c r="G74" s="336"/>
      <c r="H74" s="334">
        <v>10.0</v>
      </c>
      <c r="I74" s="333">
        <v>30.0</v>
      </c>
      <c r="J74" s="339"/>
      <c r="K74" s="332"/>
      <c r="L74" s="333"/>
      <c r="M74" s="336"/>
      <c r="N74" s="337"/>
      <c r="O74" s="338"/>
      <c r="P74" s="339"/>
      <c r="Q74" s="336"/>
      <c r="R74" s="338"/>
      <c r="S74" s="336"/>
      <c r="T74" s="319">
        <f t="shared" si="6"/>
        <v>600</v>
      </c>
      <c r="U74" s="422"/>
      <c r="V74" s="265"/>
    </row>
    <row r="75" ht="33.75" customHeight="1">
      <c r="A75" s="264"/>
      <c r="B75" s="308"/>
      <c r="C75" s="309">
        <v>5.0</v>
      </c>
      <c r="D75" s="382" t="s">
        <v>141</v>
      </c>
      <c r="E75" s="259">
        <v>12.0</v>
      </c>
      <c r="F75" s="383">
        <v>15.0</v>
      </c>
      <c r="G75" s="318"/>
      <c r="H75" s="343">
        <v>9.0</v>
      </c>
      <c r="I75" s="342">
        <v>15.0</v>
      </c>
      <c r="J75" s="344"/>
      <c r="K75" s="311"/>
      <c r="L75" s="342"/>
      <c r="M75" s="318"/>
      <c r="N75" s="345"/>
      <c r="O75" s="346"/>
      <c r="P75" s="344"/>
      <c r="Q75" s="318"/>
      <c r="R75" s="346"/>
      <c r="S75" s="318"/>
      <c r="T75" s="319">
        <f t="shared" si="6"/>
        <v>315</v>
      </c>
      <c r="U75" s="422"/>
      <c r="V75" s="265"/>
    </row>
    <row r="76" ht="33.75" customHeight="1">
      <c r="A76" s="264"/>
      <c r="B76" s="308"/>
      <c r="C76" s="330">
        <v>6.0</v>
      </c>
      <c r="D76" s="331" t="s">
        <v>139</v>
      </c>
      <c r="E76" s="423">
        <v>12.0</v>
      </c>
      <c r="F76" s="379">
        <v>30.0</v>
      </c>
      <c r="G76" s="336"/>
      <c r="H76" s="334">
        <v>14.0</v>
      </c>
      <c r="I76" s="333">
        <v>30.0</v>
      </c>
      <c r="J76" s="339"/>
      <c r="K76" s="332"/>
      <c r="L76" s="338"/>
      <c r="M76" s="336"/>
      <c r="N76" s="337"/>
      <c r="O76" s="338"/>
      <c r="P76" s="339"/>
      <c r="Q76" s="336"/>
      <c r="R76" s="338"/>
      <c r="S76" s="336"/>
      <c r="T76" s="319">
        <f t="shared" si="6"/>
        <v>780</v>
      </c>
      <c r="U76" s="422"/>
      <c r="V76" s="265"/>
    </row>
    <row r="77" ht="33.75" customHeight="1">
      <c r="A77" s="264"/>
      <c r="B77" s="361"/>
      <c r="C77" s="309">
        <v>7.0</v>
      </c>
      <c r="D77" s="382" t="s">
        <v>88</v>
      </c>
      <c r="E77" s="259">
        <v>12.0</v>
      </c>
      <c r="F77" s="383">
        <v>8.0</v>
      </c>
      <c r="G77" s="318"/>
      <c r="H77" s="343">
        <v>11.0</v>
      </c>
      <c r="I77" s="342">
        <v>8.0</v>
      </c>
      <c r="J77" s="344"/>
      <c r="K77" s="311"/>
      <c r="L77" s="342"/>
      <c r="M77" s="318"/>
      <c r="N77" s="345"/>
      <c r="O77" s="346"/>
      <c r="P77" s="344"/>
      <c r="Q77" s="318"/>
      <c r="R77" s="346"/>
      <c r="S77" s="318"/>
      <c r="T77" s="319">
        <f t="shared" si="6"/>
        <v>184</v>
      </c>
      <c r="U77" s="422"/>
      <c r="V77" s="265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7"/>
      <c r="B79" s="265"/>
      <c r="C79" s="294" t="s">
        <v>209</v>
      </c>
      <c r="D79" s="295"/>
      <c r="E79" s="296" t="s">
        <v>210</v>
      </c>
      <c r="F79" s="297"/>
      <c r="G79" s="297"/>
      <c r="H79" s="297"/>
      <c r="I79" s="297"/>
      <c r="J79" s="297"/>
      <c r="K79" s="297"/>
      <c r="L79" s="297"/>
      <c r="M79" s="282"/>
      <c r="N79" s="298" t="s">
        <v>211</v>
      </c>
      <c r="O79" s="268"/>
      <c r="P79" s="57"/>
      <c r="Q79" s="286"/>
      <c r="R79" s="268"/>
      <c r="S79" s="57"/>
      <c r="T79" s="292"/>
      <c r="U79" s="265"/>
      <c r="V79" s="265"/>
    </row>
    <row r="80">
      <c r="A80" s="37"/>
      <c r="B80" s="265"/>
      <c r="C80" s="301" t="s">
        <v>214</v>
      </c>
      <c r="D80" s="302">
        <v>45944.0</v>
      </c>
      <c r="E80" s="303" t="s">
        <v>215</v>
      </c>
      <c r="F80" s="22"/>
      <c r="G80" s="28"/>
      <c r="H80" s="304" t="s">
        <v>216</v>
      </c>
      <c r="I80" s="297"/>
      <c r="J80" s="282"/>
      <c r="K80" s="304"/>
      <c r="L80" s="297"/>
      <c r="M80" s="282"/>
      <c r="N80" s="304"/>
      <c r="O80" s="297"/>
      <c r="P80" s="282"/>
      <c r="Q80" s="304" t="s">
        <v>219</v>
      </c>
      <c r="R80" s="297"/>
      <c r="S80" s="282"/>
      <c r="T80" s="265"/>
      <c r="U80" s="265"/>
      <c r="V80" s="265"/>
    </row>
    <row r="81">
      <c r="A81" s="37"/>
      <c r="B81" s="456" t="s">
        <v>251</v>
      </c>
      <c r="C81" s="306" t="s">
        <v>221</v>
      </c>
      <c r="D81" s="406" t="s">
        <v>222</v>
      </c>
      <c r="E81" s="301" t="s">
        <v>223</v>
      </c>
      <c r="F81" s="301" t="s">
        <v>224</v>
      </c>
      <c r="G81" s="301" t="s">
        <v>66</v>
      </c>
      <c r="H81" s="301" t="s">
        <v>223</v>
      </c>
      <c r="I81" s="301" t="s">
        <v>224</v>
      </c>
      <c r="J81" s="301" t="s">
        <v>66</v>
      </c>
      <c r="K81" s="301" t="s">
        <v>64</v>
      </c>
      <c r="L81" s="301" t="s">
        <v>223</v>
      </c>
      <c r="M81" s="444" t="s">
        <v>266</v>
      </c>
      <c r="N81" s="282"/>
      <c r="O81" s="301"/>
      <c r="P81" s="301"/>
      <c r="Q81" s="301"/>
      <c r="R81" s="301"/>
      <c r="S81" s="466"/>
      <c r="T81" s="307" t="s">
        <v>225</v>
      </c>
      <c r="U81" s="421" t="s">
        <v>263</v>
      </c>
      <c r="V81" s="265"/>
    </row>
    <row r="82">
      <c r="A82" s="37"/>
      <c r="B82" s="308"/>
      <c r="C82" s="309">
        <v>1.0</v>
      </c>
      <c r="D82" s="382" t="s">
        <v>167</v>
      </c>
      <c r="E82" s="259">
        <v>16.0</v>
      </c>
      <c r="F82" s="312">
        <v>50.0</v>
      </c>
      <c r="G82" s="375"/>
      <c r="H82" s="259">
        <v>20.0</v>
      </c>
      <c r="I82" s="375">
        <v>50.0</v>
      </c>
      <c r="J82" s="316"/>
      <c r="K82" s="316">
        <v>2.0</v>
      </c>
      <c r="L82" s="222" t="s">
        <v>134</v>
      </c>
      <c r="M82" s="315" t="s">
        <v>124</v>
      </c>
      <c r="N82" s="270"/>
      <c r="O82" s="316"/>
      <c r="P82" s="316"/>
      <c r="Q82" s="222"/>
      <c r="R82" s="316"/>
      <c r="S82" s="316"/>
      <c r="T82" s="467" t="str">
        <f t="shared" ref="T82:T85" si="7">(E82*F82)+(H82*I82)+(K82*L82)+(N82*O82)+(Q82*R82)</f>
        <v>#VALUE!</v>
      </c>
      <c r="U82" s="422"/>
      <c r="V82" s="265"/>
    </row>
    <row r="83">
      <c r="A83" s="37"/>
      <c r="B83" s="308"/>
      <c r="C83" s="330">
        <v>2.0</v>
      </c>
      <c r="D83" s="358" t="s">
        <v>169</v>
      </c>
      <c r="E83" s="423">
        <v>16.0</v>
      </c>
      <c r="F83" s="333">
        <v>15.0</v>
      </c>
      <c r="G83" s="379"/>
      <c r="H83" s="423">
        <v>18.0</v>
      </c>
      <c r="I83" s="379">
        <v>15.0</v>
      </c>
      <c r="J83" s="338"/>
      <c r="K83" s="338" t="s">
        <v>78</v>
      </c>
      <c r="L83" s="436" t="s">
        <v>134</v>
      </c>
      <c r="M83" s="337" t="s">
        <v>73</v>
      </c>
      <c r="N83" s="25"/>
      <c r="O83" s="338"/>
      <c r="P83" s="338"/>
      <c r="Q83" s="436"/>
      <c r="R83" s="338"/>
      <c r="S83" s="338"/>
      <c r="T83" s="467" t="str">
        <f t="shared" si="7"/>
        <v>#VALUE!</v>
      </c>
      <c r="U83" s="422"/>
      <c r="V83" s="265"/>
    </row>
    <row r="84">
      <c r="A84" s="37"/>
      <c r="B84" s="308"/>
      <c r="C84" s="309">
        <v>3.0</v>
      </c>
      <c r="D84" s="360" t="s">
        <v>170</v>
      </c>
      <c r="E84" s="259">
        <v>8.0</v>
      </c>
      <c r="F84" s="342">
        <v>80.0</v>
      </c>
      <c r="G84" s="383"/>
      <c r="H84" s="259">
        <v>7.0</v>
      </c>
      <c r="I84" s="383">
        <v>80.0</v>
      </c>
      <c r="J84" s="346"/>
      <c r="K84" s="346">
        <v>2.0</v>
      </c>
      <c r="L84" s="209">
        <v>45510.0</v>
      </c>
      <c r="M84" s="346"/>
      <c r="N84" s="318"/>
      <c r="O84" s="346"/>
      <c r="P84" s="346"/>
      <c r="Q84" s="209"/>
      <c r="R84" s="346"/>
      <c r="S84" s="346"/>
      <c r="T84" s="319">
        <f t="shared" si="7"/>
        <v>92220</v>
      </c>
      <c r="U84" s="422"/>
      <c r="V84" s="265"/>
    </row>
    <row r="85">
      <c r="A85" s="37"/>
      <c r="B85" s="308"/>
      <c r="C85" s="330">
        <v>4.0</v>
      </c>
      <c r="D85" s="358" t="s">
        <v>171</v>
      </c>
      <c r="E85" s="423">
        <v>10.0</v>
      </c>
      <c r="F85" s="333">
        <v>140.0</v>
      </c>
      <c r="G85" s="379"/>
      <c r="H85" s="423">
        <v>10.0</v>
      </c>
      <c r="I85" s="379">
        <v>140.0</v>
      </c>
      <c r="J85" s="338"/>
      <c r="K85" s="338">
        <v>2.0</v>
      </c>
      <c r="L85" s="459">
        <v>45573.0</v>
      </c>
      <c r="M85" s="338"/>
      <c r="N85" s="336"/>
      <c r="O85" s="338"/>
      <c r="P85" s="338"/>
      <c r="Q85" s="459"/>
      <c r="R85" s="338"/>
      <c r="S85" s="338"/>
      <c r="T85" s="319">
        <f t="shared" si="7"/>
        <v>93946</v>
      </c>
      <c r="U85" s="422"/>
      <c r="V85" s="265"/>
    </row>
    <row r="86">
      <c r="A86" s="37"/>
      <c r="B86" s="308"/>
      <c r="C86" s="309">
        <v>5.0</v>
      </c>
      <c r="D86" s="382" t="s">
        <v>172</v>
      </c>
      <c r="E86" s="244">
        <v>12.0</v>
      </c>
      <c r="F86" s="342">
        <v>70.0</v>
      </c>
      <c r="G86" s="383"/>
      <c r="H86" s="244">
        <v>14.0</v>
      </c>
      <c r="I86" s="383">
        <v>70.0</v>
      </c>
      <c r="J86" s="346"/>
      <c r="K86" s="346" t="s">
        <v>78</v>
      </c>
      <c r="L86" s="239">
        <v>45636.0</v>
      </c>
      <c r="M86" s="345" t="s">
        <v>73</v>
      </c>
      <c r="N86" s="25"/>
      <c r="O86" s="346"/>
      <c r="P86" s="346"/>
      <c r="Q86" s="239"/>
      <c r="R86" s="346"/>
      <c r="S86" s="346"/>
      <c r="T86" s="467" t="str">
        <f t="shared" ref="T86:T87" si="8">(E86*F86)+(H86*I86)+(K86*L86)+(N86*O86)+(#REF!*R86)</f>
        <v>#VALUE!</v>
      </c>
      <c r="U86" s="422"/>
      <c r="V86" s="265"/>
    </row>
    <row r="87">
      <c r="A87" s="37"/>
      <c r="B87" s="308"/>
      <c r="C87" s="330">
        <v>6.0</v>
      </c>
      <c r="D87" s="358" t="s">
        <v>174</v>
      </c>
      <c r="E87" s="423">
        <v>10.0</v>
      </c>
      <c r="F87" s="333">
        <v>22.5</v>
      </c>
      <c r="G87" s="379"/>
      <c r="H87" s="423">
        <v>9.0</v>
      </c>
      <c r="I87" s="379">
        <v>22.5</v>
      </c>
      <c r="J87" s="338"/>
      <c r="K87" s="338">
        <v>2.0</v>
      </c>
      <c r="L87" s="424">
        <v>45999.0</v>
      </c>
      <c r="M87" s="338"/>
      <c r="N87" s="336"/>
      <c r="O87" s="338"/>
      <c r="P87" s="338"/>
      <c r="Q87" s="424"/>
      <c r="R87" s="338"/>
      <c r="S87" s="338"/>
      <c r="T87" s="319" t="str">
        <f t="shared" si="8"/>
        <v>#REF!</v>
      </c>
      <c r="U87" s="422"/>
      <c r="V87" s="265"/>
    </row>
    <row r="88">
      <c r="A88" s="37"/>
      <c r="B88" s="368"/>
      <c r="C88" s="265"/>
      <c r="D88" s="265"/>
      <c r="E88" s="265"/>
      <c r="F88" s="265"/>
      <c r="G88" s="265"/>
      <c r="H88" s="265"/>
      <c r="I88" s="292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</row>
    <row r="89">
      <c r="A89" s="37"/>
      <c r="B89" s="265"/>
      <c r="C89" s="294" t="s">
        <v>209</v>
      </c>
      <c r="D89" s="295"/>
      <c r="E89" s="296" t="s">
        <v>233</v>
      </c>
      <c r="F89" s="297"/>
      <c r="G89" s="297"/>
      <c r="H89" s="297"/>
      <c r="I89" s="297"/>
      <c r="J89" s="297"/>
      <c r="K89" s="297"/>
      <c r="L89" s="297"/>
      <c r="M89" s="282"/>
      <c r="N89" s="298" t="s">
        <v>211</v>
      </c>
      <c r="O89" s="268"/>
      <c r="P89" s="57"/>
      <c r="Q89" s="286"/>
      <c r="R89" s="268"/>
      <c r="S89" s="57"/>
      <c r="T89" s="292"/>
      <c r="U89" s="265"/>
      <c r="V89" s="265"/>
    </row>
    <row r="90">
      <c r="A90" s="37"/>
      <c r="B90" s="265"/>
      <c r="C90" s="301" t="s">
        <v>214</v>
      </c>
      <c r="D90" s="372">
        <v>45945.0</v>
      </c>
      <c r="E90" s="303" t="s">
        <v>215</v>
      </c>
      <c r="F90" s="22"/>
      <c r="G90" s="28"/>
      <c r="H90" s="304" t="s">
        <v>216</v>
      </c>
      <c r="I90" s="297"/>
      <c r="J90" s="282"/>
      <c r="K90" s="304"/>
      <c r="L90" s="297"/>
      <c r="M90" s="282"/>
      <c r="N90" s="304"/>
      <c r="O90" s="297"/>
      <c r="P90" s="282"/>
      <c r="Q90" s="304"/>
      <c r="R90" s="297"/>
      <c r="S90" s="282"/>
      <c r="T90" s="265"/>
      <c r="U90" s="265"/>
      <c r="V90" s="265"/>
    </row>
    <row r="91">
      <c r="A91" s="37"/>
      <c r="B91" s="458" t="s">
        <v>255</v>
      </c>
      <c r="C91" s="306" t="s">
        <v>221</v>
      </c>
      <c r="D91" s="306" t="s">
        <v>222</v>
      </c>
      <c r="E91" s="301" t="s">
        <v>223</v>
      </c>
      <c r="F91" s="301" t="s">
        <v>224</v>
      </c>
      <c r="G91" s="301" t="s">
        <v>66</v>
      </c>
      <c r="H91" s="301" t="s">
        <v>223</v>
      </c>
      <c r="I91" s="301" t="s">
        <v>224</v>
      </c>
      <c r="J91" s="301" t="s">
        <v>66</v>
      </c>
      <c r="K91" s="301" t="s">
        <v>268</v>
      </c>
      <c r="L91" s="301" t="s">
        <v>269</v>
      </c>
      <c r="M91" s="468" t="s">
        <v>270</v>
      </c>
      <c r="N91" s="282"/>
      <c r="O91" s="301" t="s">
        <v>271</v>
      </c>
      <c r="P91" s="301"/>
      <c r="Q91" s="301"/>
      <c r="R91" s="301"/>
      <c r="S91" s="301"/>
      <c r="T91" s="307" t="s">
        <v>225</v>
      </c>
      <c r="U91" s="421" t="s">
        <v>263</v>
      </c>
      <c r="V91" s="265"/>
    </row>
    <row r="92">
      <c r="A92" s="37"/>
      <c r="B92" s="308"/>
      <c r="C92" s="309">
        <v>1.0</v>
      </c>
      <c r="D92" s="373" t="s">
        <v>104</v>
      </c>
      <c r="E92" s="374">
        <v>12.0</v>
      </c>
      <c r="F92" s="312">
        <v>10.0</v>
      </c>
      <c r="G92" s="374"/>
      <c r="H92" s="376">
        <v>12.0</v>
      </c>
      <c r="I92" s="312">
        <v>10.0</v>
      </c>
      <c r="J92" s="316"/>
      <c r="K92" s="316">
        <v>2.0</v>
      </c>
      <c r="L92" s="209">
        <v>45634.0</v>
      </c>
      <c r="M92" s="100" t="s">
        <v>124</v>
      </c>
      <c r="O92" s="316"/>
      <c r="P92" s="316"/>
      <c r="Q92" s="222"/>
      <c r="R92" s="316"/>
      <c r="S92" s="316"/>
      <c r="T92" s="319" t="str">
        <f>(E92*F92)+(H92*I92)+(O92*L92)+(N92*#REF!)+(#REF!*R92)</f>
        <v>#REF!</v>
      </c>
      <c r="U92" s="422"/>
      <c r="V92" s="265"/>
    </row>
    <row r="93">
      <c r="A93" s="37"/>
      <c r="B93" s="308"/>
      <c r="C93" s="330">
        <v>2.0</v>
      </c>
      <c r="D93" s="377" t="s">
        <v>145</v>
      </c>
      <c r="E93" s="378">
        <v>10.0</v>
      </c>
      <c r="F93" s="333">
        <v>70.0</v>
      </c>
      <c r="G93" s="378"/>
      <c r="H93" s="381">
        <v>8.0</v>
      </c>
      <c r="I93" s="333">
        <v>70.0</v>
      </c>
      <c r="J93" s="338"/>
      <c r="K93" s="338">
        <v>2.0</v>
      </c>
      <c r="L93" s="469">
        <v>45938.0</v>
      </c>
      <c r="M93" s="462"/>
      <c r="N93" s="459"/>
      <c r="O93" s="338"/>
      <c r="P93" s="338"/>
      <c r="Q93" s="436"/>
      <c r="R93" s="338"/>
      <c r="S93" s="338"/>
      <c r="T93" s="319" t="str">
        <f t="shared" ref="T93:T94" si="9">(E93*F93)+(H93*I93)+(O93*L93)+(N93*#REF!)+(Q93*R93)</f>
        <v>#REF!</v>
      </c>
      <c r="U93" s="422"/>
      <c r="V93" s="265"/>
    </row>
    <row r="94">
      <c r="A94" s="37"/>
      <c r="B94" s="308"/>
      <c r="C94" s="309">
        <v>3.0</v>
      </c>
      <c r="D94" s="382" t="s">
        <v>146</v>
      </c>
      <c r="E94" s="374">
        <v>8.0</v>
      </c>
      <c r="F94" s="342">
        <v>28.0</v>
      </c>
      <c r="G94" s="374"/>
      <c r="H94" s="385">
        <v>7.0</v>
      </c>
      <c r="I94" s="342">
        <v>26.0</v>
      </c>
      <c r="J94" s="346"/>
      <c r="K94" s="346">
        <v>2.0</v>
      </c>
      <c r="L94" s="209">
        <v>45509.0</v>
      </c>
      <c r="M94" s="218"/>
      <c r="N94" s="209"/>
      <c r="O94" s="346"/>
      <c r="P94" s="346"/>
      <c r="Q94" s="209"/>
      <c r="R94" s="346"/>
      <c r="S94" s="346"/>
      <c r="T94" s="319" t="str">
        <f t="shared" si="9"/>
        <v>#REF!</v>
      </c>
      <c r="U94" s="422"/>
      <c r="V94" s="265"/>
    </row>
    <row r="95">
      <c r="A95" s="37"/>
      <c r="B95" s="308"/>
      <c r="C95" s="330">
        <v>4.0</v>
      </c>
      <c r="D95" s="377" t="s">
        <v>76</v>
      </c>
      <c r="E95" s="378">
        <v>8.0</v>
      </c>
      <c r="F95" s="333">
        <v>10.0</v>
      </c>
      <c r="G95" s="378"/>
      <c r="H95" s="381">
        <v>16.0</v>
      </c>
      <c r="I95" s="333">
        <v>7.5</v>
      </c>
      <c r="J95" s="338"/>
      <c r="K95" s="338" t="s">
        <v>78</v>
      </c>
      <c r="L95" s="336" t="s">
        <v>108</v>
      </c>
      <c r="M95" s="455" t="s">
        <v>97</v>
      </c>
      <c r="O95" s="338">
        <v>3101.0</v>
      </c>
      <c r="P95" s="338"/>
      <c r="Q95" s="459"/>
      <c r="R95" s="338"/>
      <c r="S95" s="338"/>
      <c r="T95" s="319" t="str">
        <f t="shared" ref="T95:T96" si="10">(E95*F95)+(H95*I95)+(O95*L95)+(N95*#REF!)+(#REF!*R95)</f>
        <v>#VALUE!</v>
      </c>
      <c r="U95" s="422"/>
      <c r="V95" s="265"/>
    </row>
    <row r="96">
      <c r="A96" s="37"/>
      <c r="B96" s="308"/>
      <c r="C96" s="309">
        <v>5.0</v>
      </c>
      <c r="D96" s="382" t="s">
        <v>147</v>
      </c>
      <c r="E96" s="374">
        <v>14.0</v>
      </c>
      <c r="F96" s="342">
        <v>5.0</v>
      </c>
      <c r="G96" s="374"/>
      <c r="H96" s="385">
        <v>16.0</v>
      </c>
      <c r="I96" s="342">
        <v>5.0</v>
      </c>
      <c r="J96" s="346"/>
      <c r="K96" s="346" t="s">
        <v>78</v>
      </c>
      <c r="L96" s="222" t="s">
        <v>134</v>
      </c>
      <c r="M96" s="100" t="s">
        <v>73</v>
      </c>
      <c r="O96" s="346">
        <v>3101.0</v>
      </c>
      <c r="P96" s="346"/>
      <c r="Q96" s="239"/>
      <c r="R96" s="346"/>
      <c r="S96" s="346"/>
      <c r="T96" s="319" t="str">
        <f t="shared" si="10"/>
        <v>#VALUE!</v>
      </c>
      <c r="U96" s="422"/>
      <c r="V96" s="265"/>
    </row>
    <row r="97">
      <c r="A97" s="37"/>
      <c r="B97" s="308"/>
      <c r="C97" s="330">
        <v>6.0</v>
      </c>
      <c r="D97" s="331" t="s">
        <v>149</v>
      </c>
      <c r="E97" s="378">
        <v>12.0</v>
      </c>
      <c r="F97" s="333">
        <v>20.0</v>
      </c>
      <c r="G97" s="378"/>
      <c r="H97" s="381">
        <v>12.0</v>
      </c>
      <c r="I97" s="333">
        <v>20.0</v>
      </c>
      <c r="J97" s="338"/>
      <c r="K97" s="338">
        <v>2.0</v>
      </c>
      <c r="L97" s="469">
        <v>45999.0</v>
      </c>
      <c r="M97" s="462"/>
      <c r="N97" s="459"/>
      <c r="O97" s="338">
        <v>3101.0</v>
      </c>
      <c r="P97" s="338"/>
      <c r="Q97" s="424"/>
      <c r="R97" s="338"/>
      <c r="S97" s="338"/>
      <c r="T97" s="319" t="str">
        <f>(E97*F97)+(H97*I97)+(O97*L97)+(N97*#REF!)+(Q97*R97)</f>
        <v>#REF!</v>
      </c>
      <c r="U97" s="422"/>
      <c r="V97" s="265"/>
    </row>
    <row r="98" ht="37.5" customHeight="1">
      <c r="A98" s="37"/>
      <c r="B98" s="308"/>
      <c r="C98" s="309">
        <v>7.0</v>
      </c>
      <c r="D98" s="382" t="s">
        <v>151</v>
      </c>
      <c r="E98" s="343">
        <v>12.0</v>
      </c>
      <c r="F98" s="342">
        <v>5.0</v>
      </c>
      <c r="G98" s="311"/>
      <c r="H98" s="343">
        <v>16.0</v>
      </c>
      <c r="I98" s="342">
        <v>4.5</v>
      </c>
      <c r="J98" s="318"/>
      <c r="K98" s="342" t="s">
        <v>78</v>
      </c>
      <c r="L98" s="342" t="s">
        <v>134</v>
      </c>
      <c r="M98" s="343" t="s">
        <v>73</v>
      </c>
      <c r="N98" s="25"/>
      <c r="O98" s="342">
        <v>3200.0</v>
      </c>
      <c r="P98" s="342"/>
      <c r="Q98" s="342"/>
      <c r="R98" s="342"/>
      <c r="S98" s="342"/>
      <c r="T98" s="319" t="str">
        <f>(E98*F98)+(H98*I98)+(O98*L98)+(N98*#REF!)+(#REF!*R98)</f>
        <v>#VALUE!</v>
      </c>
      <c r="U98" s="422"/>
      <c r="V98" s="265"/>
    </row>
    <row r="99">
      <c r="A99" s="37"/>
      <c r="B99" s="368"/>
      <c r="C99" s="265"/>
      <c r="D99" s="265"/>
      <c r="E99" s="265"/>
      <c r="F99" s="265"/>
      <c r="G99" s="265"/>
      <c r="H99" s="265"/>
      <c r="I99" s="265"/>
      <c r="J99" s="265"/>
      <c r="K99" s="292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</row>
    <row r="100">
      <c r="A100" s="37"/>
      <c r="B100" s="368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</row>
    <row r="101">
      <c r="A101" s="37"/>
      <c r="B101" s="265"/>
      <c r="C101" s="294" t="s">
        <v>209</v>
      </c>
      <c r="D101" s="295"/>
      <c r="E101" s="296" t="s">
        <v>248</v>
      </c>
      <c r="F101" s="297"/>
      <c r="G101" s="297"/>
      <c r="H101" s="297"/>
      <c r="I101" s="297"/>
      <c r="J101" s="297"/>
      <c r="K101" s="297"/>
      <c r="L101" s="297"/>
      <c r="M101" s="282"/>
      <c r="N101" s="298" t="s">
        <v>211</v>
      </c>
      <c r="O101" s="268"/>
      <c r="P101" s="57"/>
      <c r="Q101" s="286"/>
      <c r="R101" s="268"/>
      <c r="S101" s="57"/>
      <c r="T101" s="292"/>
      <c r="U101" s="265"/>
      <c r="V101" s="265"/>
    </row>
    <row r="102">
      <c r="A102" s="37"/>
      <c r="B102" s="265"/>
      <c r="C102" s="301" t="s">
        <v>214</v>
      </c>
      <c r="D102" s="372">
        <v>45948.0</v>
      </c>
      <c r="E102" s="303" t="s">
        <v>215</v>
      </c>
      <c r="F102" s="22"/>
      <c r="G102" s="28"/>
      <c r="H102" s="304" t="s">
        <v>216</v>
      </c>
      <c r="I102" s="297"/>
      <c r="J102" s="282"/>
      <c r="K102" s="304" t="s">
        <v>217</v>
      </c>
      <c r="L102" s="297"/>
      <c r="M102" s="282"/>
      <c r="N102" s="304" t="s">
        <v>218</v>
      </c>
      <c r="O102" s="297"/>
      <c r="P102" s="282"/>
      <c r="Q102" s="304" t="s">
        <v>219</v>
      </c>
      <c r="R102" s="297"/>
      <c r="S102" s="282"/>
      <c r="T102" s="265"/>
      <c r="U102" s="265"/>
      <c r="V102" s="265"/>
    </row>
    <row r="103">
      <c r="A103" s="37"/>
      <c r="B103" s="458" t="s">
        <v>256</v>
      </c>
      <c r="C103" s="306" t="s">
        <v>221</v>
      </c>
      <c r="D103" s="306" t="s">
        <v>222</v>
      </c>
      <c r="E103" s="301" t="s">
        <v>223</v>
      </c>
      <c r="F103" s="301" t="s">
        <v>224</v>
      </c>
      <c r="G103" s="301" t="s">
        <v>66</v>
      </c>
      <c r="H103" s="301" t="s">
        <v>223</v>
      </c>
      <c r="I103" s="301" t="s">
        <v>224</v>
      </c>
      <c r="J103" s="301" t="s">
        <v>66</v>
      </c>
      <c r="K103" s="301" t="s">
        <v>223</v>
      </c>
      <c r="L103" s="301" t="s">
        <v>224</v>
      </c>
      <c r="M103" s="301" t="s">
        <v>66</v>
      </c>
      <c r="N103" s="301" t="s">
        <v>223</v>
      </c>
      <c r="O103" s="301" t="s">
        <v>224</v>
      </c>
      <c r="P103" s="301" t="s">
        <v>66</v>
      </c>
      <c r="Q103" s="301" t="s">
        <v>223</v>
      </c>
      <c r="R103" s="301" t="s">
        <v>224</v>
      </c>
      <c r="S103" s="301" t="s">
        <v>66</v>
      </c>
      <c r="T103" s="307" t="s">
        <v>225</v>
      </c>
      <c r="U103" s="421" t="s">
        <v>263</v>
      </c>
      <c r="V103" s="265"/>
    </row>
    <row r="104">
      <c r="A104" s="37"/>
      <c r="B104" s="308"/>
      <c r="C104" s="309">
        <v>1.0</v>
      </c>
      <c r="D104" s="373" t="s">
        <v>130</v>
      </c>
      <c r="E104" s="259">
        <v>12.0</v>
      </c>
      <c r="F104" s="375">
        <v>12.0</v>
      </c>
      <c r="G104" s="384"/>
      <c r="H104" s="376">
        <v>11.0</v>
      </c>
      <c r="I104" s="375">
        <v>12.0</v>
      </c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19">
        <f t="shared" ref="T104:T110" si="11">(E104*F104)+(H104*I104)+(K104*L104)+(N104*O104)+(Q104*R104)</f>
        <v>276</v>
      </c>
      <c r="U104" s="422"/>
      <c r="V104" s="265"/>
    </row>
    <row r="105">
      <c r="A105" s="37"/>
      <c r="B105" s="308"/>
      <c r="C105" s="330">
        <v>2.0</v>
      </c>
      <c r="D105" s="377" t="s">
        <v>183</v>
      </c>
      <c r="E105" s="423">
        <v>14.0</v>
      </c>
      <c r="F105" s="379">
        <v>15.0</v>
      </c>
      <c r="G105" s="380"/>
      <c r="H105" s="381">
        <v>14.0</v>
      </c>
      <c r="I105" s="379">
        <v>15.0</v>
      </c>
      <c r="J105" s="423"/>
      <c r="K105" s="379"/>
      <c r="L105" s="380"/>
      <c r="M105" s="381"/>
      <c r="N105" s="379"/>
      <c r="O105" s="379"/>
      <c r="P105" s="379"/>
      <c r="Q105" s="379"/>
      <c r="R105" s="379"/>
      <c r="S105" s="379"/>
      <c r="T105" s="319">
        <f t="shared" si="11"/>
        <v>420</v>
      </c>
      <c r="U105" s="422"/>
      <c r="V105" s="265"/>
    </row>
    <row r="106">
      <c r="A106" s="37"/>
      <c r="B106" s="308"/>
      <c r="C106" s="309">
        <v>3.0</v>
      </c>
      <c r="D106" s="382" t="s">
        <v>131</v>
      </c>
      <c r="E106" s="259">
        <v>12.0</v>
      </c>
      <c r="F106" s="383">
        <v>50.0</v>
      </c>
      <c r="H106" s="385">
        <v>12.0</v>
      </c>
      <c r="I106" s="383">
        <v>50.0</v>
      </c>
      <c r="J106" s="318"/>
      <c r="K106" s="383"/>
      <c r="L106" s="383"/>
      <c r="M106" s="383"/>
      <c r="N106" s="383"/>
      <c r="O106" s="383"/>
      <c r="P106" s="383"/>
      <c r="Q106" s="383"/>
      <c r="R106" s="383"/>
      <c r="S106" s="383"/>
      <c r="T106" s="319">
        <f t="shared" si="11"/>
        <v>1200</v>
      </c>
      <c r="U106" s="422"/>
      <c r="V106" s="265"/>
    </row>
    <row r="107">
      <c r="A107" s="37"/>
      <c r="B107" s="308"/>
      <c r="C107" s="330">
        <v>4.0</v>
      </c>
      <c r="D107" s="377" t="s">
        <v>106</v>
      </c>
      <c r="E107" s="423">
        <v>10.0</v>
      </c>
      <c r="F107" s="379">
        <v>70.0</v>
      </c>
      <c r="G107" s="380"/>
      <c r="H107" s="381">
        <v>8.0</v>
      </c>
      <c r="I107" s="379">
        <v>60.0</v>
      </c>
      <c r="J107" s="336"/>
      <c r="K107" s="379"/>
      <c r="L107" s="379"/>
      <c r="M107" s="379"/>
      <c r="N107" s="379"/>
      <c r="O107" s="379"/>
      <c r="P107" s="379"/>
      <c r="Q107" s="379"/>
      <c r="R107" s="379"/>
      <c r="S107" s="379"/>
      <c r="T107" s="319">
        <f t="shared" si="11"/>
        <v>1180</v>
      </c>
      <c r="U107" s="422"/>
      <c r="V107" s="265"/>
    </row>
    <row r="108">
      <c r="A108" s="37"/>
      <c r="B108" s="308"/>
      <c r="C108" s="309">
        <v>5.0</v>
      </c>
      <c r="D108" s="382" t="s">
        <v>185</v>
      </c>
      <c r="E108" s="244">
        <v>12.0</v>
      </c>
      <c r="F108" s="383">
        <v>30.0</v>
      </c>
      <c r="G108" s="384"/>
      <c r="H108" s="385">
        <v>14.0</v>
      </c>
      <c r="I108" s="383">
        <v>30.0</v>
      </c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19">
        <f t="shared" si="11"/>
        <v>780</v>
      </c>
      <c r="U108" s="422"/>
      <c r="V108" s="265"/>
    </row>
    <row r="109">
      <c r="A109" s="37"/>
      <c r="B109" s="308"/>
      <c r="C109" s="330">
        <v>6.0</v>
      </c>
      <c r="D109" s="331" t="s">
        <v>186</v>
      </c>
      <c r="E109" s="423">
        <v>12.0</v>
      </c>
      <c r="F109" s="379">
        <v>70.0</v>
      </c>
      <c r="G109" s="380"/>
      <c r="H109" s="381">
        <v>16.0</v>
      </c>
      <c r="I109" s="379">
        <v>70.0</v>
      </c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19">
        <f t="shared" si="11"/>
        <v>1960</v>
      </c>
      <c r="U109" s="422"/>
      <c r="V109" s="265"/>
    </row>
    <row r="110" ht="36.75" customHeight="1">
      <c r="A110" s="37"/>
      <c r="B110" s="308"/>
      <c r="C110" s="309">
        <v>7.0</v>
      </c>
      <c r="D110" s="382" t="s">
        <v>187</v>
      </c>
      <c r="E110" s="259">
        <v>12.0</v>
      </c>
      <c r="F110" s="342">
        <v>10.0</v>
      </c>
      <c r="G110" s="318"/>
      <c r="H110" s="343">
        <v>10.0</v>
      </c>
      <c r="I110" s="342">
        <v>15.0</v>
      </c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19">
        <f t="shared" si="11"/>
        <v>270</v>
      </c>
      <c r="U110" s="422"/>
      <c r="V110" s="265"/>
    </row>
    <row r="111">
      <c r="A111" s="37"/>
      <c r="B111" s="368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92"/>
      <c r="R111" s="265"/>
      <c r="S111" s="265"/>
      <c r="T111" s="265"/>
      <c r="U111" s="265"/>
      <c r="V111" s="265"/>
    </row>
    <row r="112">
      <c r="A112" s="37"/>
      <c r="B112" s="265"/>
      <c r="C112" s="294" t="s">
        <v>209</v>
      </c>
      <c r="D112" s="295"/>
      <c r="E112" s="296" t="s">
        <v>244</v>
      </c>
      <c r="F112" s="297"/>
      <c r="G112" s="297"/>
      <c r="H112" s="297"/>
      <c r="I112" s="297"/>
      <c r="J112" s="297"/>
      <c r="K112" s="297"/>
      <c r="L112" s="297"/>
      <c r="M112" s="282"/>
      <c r="N112" s="298" t="s">
        <v>211</v>
      </c>
      <c r="O112" s="268"/>
      <c r="P112" s="57"/>
      <c r="Q112" s="286"/>
      <c r="R112" s="268"/>
      <c r="S112" s="57"/>
      <c r="T112" s="292"/>
      <c r="U112" s="265"/>
      <c r="V112" s="265"/>
    </row>
    <row r="113">
      <c r="A113" s="37"/>
      <c r="B113" s="265"/>
      <c r="C113" s="301" t="s">
        <v>214</v>
      </c>
      <c r="D113" s="372">
        <v>45951.0</v>
      </c>
      <c r="E113" s="303" t="s">
        <v>215</v>
      </c>
      <c r="F113" s="22"/>
      <c r="G113" s="28"/>
      <c r="H113" s="304" t="s">
        <v>216</v>
      </c>
      <c r="I113" s="297"/>
      <c r="J113" s="282"/>
      <c r="K113" s="304" t="s">
        <v>217</v>
      </c>
      <c r="L113" s="297"/>
      <c r="M113" s="282"/>
      <c r="N113" s="304"/>
      <c r="O113" s="297"/>
      <c r="P113" s="282"/>
      <c r="Q113" s="304"/>
      <c r="R113" s="297"/>
      <c r="S113" s="282"/>
      <c r="T113" s="265"/>
      <c r="U113" s="265"/>
      <c r="V113" s="265"/>
    </row>
    <row r="114">
      <c r="A114" s="37"/>
      <c r="B114" s="470" t="s">
        <v>258</v>
      </c>
      <c r="C114" s="306" t="s">
        <v>221</v>
      </c>
      <c r="D114" s="306" t="s">
        <v>222</v>
      </c>
      <c r="E114" s="301" t="s">
        <v>223</v>
      </c>
      <c r="F114" s="301" t="s">
        <v>224</v>
      </c>
      <c r="G114" s="301" t="s">
        <v>66</v>
      </c>
      <c r="H114" s="301" t="s">
        <v>223</v>
      </c>
      <c r="I114" s="301" t="s">
        <v>224</v>
      </c>
      <c r="J114" s="301" t="s">
        <v>66</v>
      </c>
      <c r="K114" s="301" t="s">
        <v>223</v>
      </c>
      <c r="L114" s="301" t="s">
        <v>224</v>
      </c>
      <c r="M114" s="301" t="s">
        <v>66</v>
      </c>
      <c r="N114" s="301" t="s">
        <v>268</v>
      </c>
      <c r="O114" s="301" t="s">
        <v>269</v>
      </c>
      <c r="P114" s="471" t="s">
        <v>270</v>
      </c>
      <c r="Q114" s="297"/>
      <c r="R114" s="282"/>
      <c r="S114" s="301" t="s">
        <v>271</v>
      </c>
      <c r="T114" s="307" t="s">
        <v>225</v>
      </c>
      <c r="U114" s="421" t="s">
        <v>263</v>
      </c>
      <c r="V114" s="265"/>
    </row>
    <row r="115">
      <c r="A115" s="37"/>
      <c r="B115" s="308"/>
      <c r="C115" s="309">
        <v>1.0</v>
      </c>
      <c r="D115" s="373" t="s">
        <v>167</v>
      </c>
      <c r="E115" s="374">
        <v>12.0</v>
      </c>
      <c r="F115" s="375">
        <v>55.0</v>
      </c>
      <c r="G115" s="384"/>
      <c r="H115" s="376">
        <v>10.0</v>
      </c>
      <c r="I115" s="375">
        <v>55.0</v>
      </c>
      <c r="J115" s="317"/>
      <c r="K115" s="311"/>
      <c r="L115" s="312"/>
      <c r="M115" s="317"/>
      <c r="N115" s="317">
        <v>2.0</v>
      </c>
      <c r="O115" s="209">
        <v>45634.0</v>
      </c>
      <c r="P115" s="100" t="s">
        <v>124</v>
      </c>
      <c r="R115" s="25"/>
      <c r="S115" s="472">
        <v>3101.0</v>
      </c>
      <c r="T115" s="467">
        <f t="shared" ref="T115:T120" si="12">(E115*F115)+(H115*I115)+(K115*L115)</f>
        <v>1210</v>
      </c>
      <c r="U115" s="422"/>
      <c r="V115" s="265"/>
    </row>
    <row r="116">
      <c r="A116" s="37"/>
      <c r="B116" s="308"/>
      <c r="C116" s="330">
        <v>2.0</v>
      </c>
      <c r="D116" s="377" t="s">
        <v>189</v>
      </c>
      <c r="E116" s="378">
        <v>12.0</v>
      </c>
      <c r="F116" s="379">
        <v>25.0</v>
      </c>
      <c r="G116" s="380"/>
      <c r="H116" s="381">
        <v>12.0</v>
      </c>
      <c r="I116" s="379">
        <v>25.0</v>
      </c>
      <c r="J116" s="339"/>
      <c r="K116" s="381">
        <v>14.0</v>
      </c>
      <c r="L116" s="379">
        <v>25.0</v>
      </c>
      <c r="M116" s="339"/>
      <c r="N116" s="339" t="s">
        <v>72</v>
      </c>
      <c r="O116" s="440">
        <v>46001.0</v>
      </c>
      <c r="P116" s="336" t="s">
        <v>97</v>
      </c>
      <c r="R116" s="25"/>
      <c r="S116" s="339">
        <v>3101.0</v>
      </c>
      <c r="T116" s="467">
        <f t="shared" si="12"/>
        <v>950</v>
      </c>
      <c r="U116" s="422"/>
      <c r="V116" s="265"/>
    </row>
    <row r="117">
      <c r="A117" s="37"/>
      <c r="B117" s="308"/>
      <c r="C117" s="309">
        <v>3.0</v>
      </c>
      <c r="D117" s="382" t="s">
        <v>190</v>
      </c>
      <c r="E117" s="374">
        <v>12.0</v>
      </c>
      <c r="F117" s="383">
        <v>45.0</v>
      </c>
      <c r="G117" s="384"/>
      <c r="H117" s="385">
        <v>16.0</v>
      </c>
      <c r="I117" s="383">
        <v>45.0</v>
      </c>
      <c r="J117" s="344"/>
      <c r="K117" s="311"/>
      <c r="L117" s="342"/>
      <c r="M117" s="344"/>
      <c r="N117" s="344" t="s">
        <v>78</v>
      </c>
      <c r="O117" s="437" t="s">
        <v>134</v>
      </c>
      <c r="P117" s="100" t="s">
        <v>97</v>
      </c>
      <c r="R117" s="25"/>
      <c r="S117" s="473">
        <v>3001.0</v>
      </c>
      <c r="T117" s="467">
        <f t="shared" si="12"/>
        <v>1260</v>
      </c>
      <c r="U117" s="422"/>
      <c r="V117" s="265"/>
    </row>
    <row r="118">
      <c r="A118" s="37"/>
      <c r="B118" s="308"/>
      <c r="C118" s="330">
        <v>4.0</v>
      </c>
      <c r="D118" s="377" t="s">
        <v>191</v>
      </c>
      <c r="E118" s="378">
        <v>10.0</v>
      </c>
      <c r="F118" s="379">
        <v>120.0</v>
      </c>
      <c r="G118" s="380"/>
      <c r="H118" s="439">
        <v>9.0</v>
      </c>
      <c r="I118" s="379">
        <v>120.0</v>
      </c>
      <c r="J118" s="339"/>
      <c r="K118" s="332"/>
      <c r="L118" s="333"/>
      <c r="M118" s="339"/>
      <c r="N118" s="339">
        <v>2.0</v>
      </c>
      <c r="O118" s="440">
        <v>45938.0</v>
      </c>
      <c r="P118" s="332"/>
      <c r="Q118" s="332"/>
      <c r="R118" s="335"/>
      <c r="S118" s="339">
        <v>3001.0</v>
      </c>
      <c r="T118" s="467">
        <f t="shared" si="12"/>
        <v>2280</v>
      </c>
      <c r="U118" s="422"/>
      <c r="V118" s="265"/>
    </row>
    <row r="119">
      <c r="A119" s="37"/>
      <c r="B119" s="308"/>
      <c r="C119" s="309">
        <v>5.0</v>
      </c>
      <c r="D119" s="382" t="s">
        <v>192</v>
      </c>
      <c r="E119" s="374">
        <v>6.0</v>
      </c>
      <c r="F119" s="383">
        <v>80.0</v>
      </c>
      <c r="G119" s="384"/>
      <c r="H119" s="385">
        <v>8.0</v>
      </c>
      <c r="I119" s="383">
        <v>70.0</v>
      </c>
      <c r="J119" s="344"/>
      <c r="K119" s="311"/>
      <c r="L119" s="342"/>
      <c r="M119" s="344"/>
      <c r="N119" s="344">
        <v>2.0</v>
      </c>
      <c r="O119" s="432">
        <v>45510.0</v>
      </c>
      <c r="P119" s="218"/>
      <c r="R119" s="25"/>
      <c r="S119" s="473"/>
      <c r="T119" s="467">
        <f t="shared" si="12"/>
        <v>1040</v>
      </c>
      <c r="U119" s="422"/>
      <c r="V119" s="265"/>
    </row>
    <row r="120">
      <c r="A120" s="37"/>
      <c r="B120" s="361"/>
      <c r="C120" s="330">
        <v>6.0</v>
      </c>
      <c r="D120" s="331" t="s">
        <v>267</v>
      </c>
      <c r="E120" s="378">
        <v>12.0</v>
      </c>
      <c r="F120" s="379">
        <v>40.0</v>
      </c>
      <c r="G120" s="380"/>
      <c r="H120" s="381">
        <v>8.0</v>
      </c>
      <c r="I120" s="379">
        <v>40.0</v>
      </c>
      <c r="J120" s="339"/>
      <c r="K120" s="332"/>
      <c r="L120" s="338"/>
      <c r="M120" s="339"/>
      <c r="N120" s="339" t="s">
        <v>113</v>
      </c>
      <c r="O120" s="474">
        <v>45999.0</v>
      </c>
      <c r="P120" s="337" t="s">
        <v>97</v>
      </c>
      <c r="R120" s="25"/>
      <c r="S120" s="338">
        <v>3202.0</v>
      </c>
      <c r="T120" s="467">
        <f t="shared" si="12"/>
        <v>800</v>
      </c>
      <c r="U120" s="422"/>
      <c r="V120" s="265"/>
    </row>
    <row r="121" ht="30.75" customHeight="1">
      <c r="A121" s="37"/>
      <c r="B121" s="368"/>
      <c r="C121" s="265"/>
      <c r="D121" s="265"/>
      <c r="E121" s="265"/>
      <c r="F121" s="265"/>
      <c r="G121" s="265"/>
      <c r="H121" s="265"/>
      <c r="I121" s="265"/>
      <c r="J121" s="292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</row>
    <row r="122">
      <c r="A122" s="37"/>
      <c r="B122" s="265"/>
      <c r="C122" s="294" t="s">
        <v>209</v>
      </c>
      <c r="D122" s="295"/>
      <c r="E122" s="296" t="s">
        <v>257</v>
      </c>
      <c r="F122" s="297"/>
      <c r="G122" s="297"/>
      <c r="H122" s="297"/>
      <c r="I122" s="297"/>
      <c r="J122" s="297"/>
      <c r="K122" s="297"/>
      <c r="L122" s="297"/>
      <c r="M122" s="282"/>
      <c r="N122" s="298" t="s">
        <v>211</v>
      </c>
      <c r="O122" s="268"/>
      <c r="P122" s="57"/>
      <c r="Q122" s="286"/>
      <c r="R122" s="268"/>
      <c r="S122" s="57"/>
      <c r="T122" s="292"/>
      <c r="U122" s="265"/>
      <c r="V122" s="265"/>
    </row>
    <row r="123">
      <c r="A123" s="37"/>
      <c r="B123" s="265"/>
      <c r="C123" s="301" t="s">
        <v>214</v>
      </c>
      <c r="D123" s="372">
        <v>45952.0</v>
      </c>
      <c r="E123" s="303" t="s">
        <v>215</v>
      </c>
      <c r="F123" s="22"/>
      <c r="G123" s="28"/>
      <c r="H123" s="304" t="s">
        <v>216</v>
      </c>
      <c r="I123" s="297"/>
      <c r="J123" s="282"/>
      <c r="K123" s="304"/>
      <c r="L123" s="297"/>
      <c r="M123" s="282"/>
      <c r="N123" s="304"/>
      <c r="O123" s="297"/>
      <c r="P123" s="282"/>
      <c r="Q123" s="304"/>
      <c r="R123" s="297"/>
      <c r="S123" s="282"/>
      <c r="T123" s="265"/>
      <c r="U123" s="265"/>
      <c r="V123" s="265"/>
    </row>
    <row r="124">
      <c r="A124" s="37"/>
      <c r="B124" s="456" t="s">
        <v>259</v>
      </c>
      <c r="C124" s="306" t="s">
        <v>221</v>
      </c>
      <c r="D124" s="306" t="s">
        <v>222</v>
      </c>
      <c r="E124" s="301" t="s">
        <v>223</v>
      </c>
      <c r="F124" s="301" t="s">
        <v>224</v>
      </c>
      <c r="G124" s="301" t="s">
        <v>66</v>
      </c>
      <c r="H124" s="301" t="s">
        <v>223</v>
      </c>
      <c r="I124" s="301" t="s">
        <v>224</v>
      </c>
      <c r="J124" s="301" t="s">
        <v>66</v>
      </c>
      <c r="K124" s="301" t="s">
        <v>268</v>
      </c>
      <c r="L124" s="301" t="s">
        <v>269</v>
      </c>
      <c r="M124" s="468" t="s">
        <v>270</v>
      </c>
      <c r="N124" s="297"/>
      <c r="O124" s="282"/>
      <c r="P124" s="301" t="s">
        <v>271</v>
      </c>
      <c r="Q124" s="468"/>
      <c r="R124" s="297"/>
      <c r="S124" s="282"/>
      <c r="T124" s="307" t="s">
        <v>225</v>
      </c>
      <c r="U124" s="421" t="s">
        <v>263</v>
      </c>
      <c r="V124" s="265"/>
    </row>
    <row r="125">
      <c r="A125" s="37"/>
      <c r="B125" s="308"/>
      <c r="C125" s="309">
        <v>1.0</v>
      </c>
      <c r="D125" s="373" t="s">
        <v>127</v>
      </c>
      <c r="E125" s="256">
        <v>16.0</v>
      </c>
      <c r="F125" s="312">
        <v>7.0</v>
      </c>
      <c r="G125" s="318"/>
      <c r="H125" s="313">
        <v>14.0</v>
      </c>
      <c r="I125" s="312">
        <v>7.0</v>
      </c>
      <c r="J125" s="317"/>
      <c r="K125" s="475">
        <v>2.0</v>
      </c>
      <c r="L125" s="256" t="s">
        <v>134</v>
      </c>
      <c r="M125" s="254"/>
      <c r="O125" s="25"/>
      <c r="P125" s="476"/>
      <c r="Q125" s="477"/>
      <c r="S125" s="25"/>
      <c r="T125" s="467">
        <f t="shared" ref="T125:T131" si="13">(E125*F125)+(H125*I125)</f>
        <v>210</v>
      </c>
      <c r="U125" s="422"/>
      <c r="V125" s="265"/>
    </row>
    <row r="126">
      <c r="A126" s="37"/>
      <c r="B126" s="308"/>
      <c r="C126" s="330">
        <v>2.0</v>
      </c>
      <c r="D126" s="377" t="s">
        <v>178</v>
      </c>
      <c r="E126" s="423">
        <v>10.0</v>
      </c>
      <c r="F126" s="333">
        <v>40.0</v>
      </c>
      <c r="G126" s="336"/>
      <c r="H126" s="334">
        <v>10.0</v>
      </c>
      <c r="I126" s="333">
        <v>40.0</v>
      </c>
      <c r="J126" s="339"/>
      <c r="K126" s="478">
        <v>2.0</v>
      </c>
      <c r="L126" s="459">
        <v>45573.0</v>
      </c>
      <c r="M126" s="462"/>
      <c r="O126" s="25"/>
      <c r="P126" s="479"/>
      <c r="Q126" s="480"/>
      <c r="S126" s="25"/>
      <c r="T126" s="467">
        <f t="shared" si="13"/>
        <v>800</v>
      </c>
      <c r="U126" s="422"/>
      <c r="V126" s="265"/>
    </row>
    <row r="127">
      <c r="A127" s="37"/>
      <c r="B127" s="308"/>
      <c r="C127" s="309">
        <v>3.0</v>
      </c>
      <c r="D127" s="382" t="s">
        <v>179</v>
      </c>
      <c r="E127" s="259">
        <v>8.0</v>
      </c>
      <c r="F127" s="383">
        <v>60.0</v>
      </c>
      <c r="G127" s="318"/>
      <c r="H127" s="343">
        <v>5.0</v>
      </c>
      <c r="I127" s="342">
        <v>60.0</v>
      </c>
      <c r="J127" s="344"/>
      <c r="K127" s="481">
        <v>2.0</v>
      </c>
      <c r="L127" s="209">
        <v>45510.0</v>
      </c>
      <c r="M127" s="218"/>
      <c r="O127" s="25"/>
      <c r="P127" s="482"/>
      <c r="Q127" s="228"/>
      <c r="S127" s="25"/>
      <c r="T127" s="467">
        <f t="shared" si="13"/>
        <v>780</v>
      </c>
      <c r="U127" s="422"/>
      <c r="V127" s="265"/>
    </row>
    <row r="128">
      <c r="A128" s="37"/>
      <c r="B128" s="308"/>
      <c r="C128" s="330">
        <v>4.0</v>
      </c>
      <c r="D128" s="377" t="s">
        <v>180</v>
      </c>
      <c r="E128" s="423">
        <v>10.0</v>
      </c>
      <c r="F128" s="379">
        <v>35.0</v>
      </c>
      <c r="G128" s="336"/>
      <c r="H128" s="334">
        <v>9.0</v>
      </c>
      <c r="I128" s="333">
        <v>35.0</v>
      </c>
      <c r="J128" s="339"/>
      <c r="K128" s="483">
        <v>2.0</v>
      </c>
      <c r="L128" s="459">
        <v>45573.0</v>
      </c>
      <c r="M128" s="462"/>
      <c r="O128" s="25"/>
      <c r="P128" s="479"/>
      <c r="Q128" s="480"/>
      <c r="S128" s="25"/>
      <c r="T128" s="467">
        <f t="shared" si="13"/>
        <v>665</v>
      </c>
      <c r="U128" s="422"/>
      <c r="V128" s="265"/>
    </row>
    <row r="129">
      <c r="A129" s="37"/>
      <c r="B129" s="308"/>
      <c r="C129" s="309">
        <v>5.0</v>
      </c>
      <c r="D129" s="382" t="s">
        <v>141</v>
      </c>
      <c r="E129" s="259">
        <v>14.0</v>
      </c>
      <c r="F129" s="383">
        <v>12.5</v>
      </c>
      <c r="G129" s="318"/>
      <c r="H129" s="343">
        <v>9.0</v>
      </c>
      <c r="I129" s="342">
        <v>12.5</v>
      </c>
      <c r="J129" s="344"/>
      <c r="K129" s="481" t="s">
        <v>78</v>
      </c>
      <c r="L129" s="259" t="s">
        <v>108</v>
      </c>
      <c r="M129" s="100" t="s">
        <v>73</v>
      </c>
      <c r="O129" s="25"/>
      <c r="P129" s="484">
        <v>3101.0</v>
      </c>
      <c r="Q129" s="485"/>
      <c r="S129" s="25"/>
      <c r="T129" s="467">
        <f t="shared" si="13"/>
        <v>287.5</v>
      </c>
      <c r="U129" s="422"/>
      <c r="V129" s="265"/>
    </row>
    <row r="130">
      <c r="A130" s="37"/>
      <c r="B130" s="308"/>
      <c r="C130" s="330">
        <v>6.0</v>
      </c>
      <c r="D130" s="331" t="s">
        <v>139</v>
      </c>
      <c r="E130" s="423">
        <v>12.0</v>
      </c>
      <c r="F130" s="379">
        <v>30.0</v>
      </c>
      <c r="G130" s="336"/>
      <c r="H130" s="334">
        <v>14.0</v>
      </c>
      <c r="I130" s="333">
        <v>30.0</v>
      </c>
      <c r="J130" s="339"/>
      <c r="K130" s="478" t="s">
        <v>78</v>
      </c>
      <c r="L130" s="424">
        <v>45999.0</v>
      </c>
      <c r="M130" s="455" t="s">
        <v>97</v>
      </c>
      <c r="O130" s="25"/>
      <c r="P130" s="479"/>
      <c r="Q130" s="486"/>
      <c r="S130" s="25"/>
      <c r="T130" s="467">
        <f t="shared" si="13"/>
        <v>780</v>
      </c>
      <c r="U130" s="422"/>
      <c r="V130" s="265"/>
    </row>
    <row r="131">
      <c r="A131" s="37"/>
      <c r="B131" s="361"/>
      <c r="C131" s="309">
        <v>7.0</v>
      </c>
      <c r="D131" s="382" t="s">
        <v>88</v>
      </c>
      <c r="E131" s="259">
        <v>10.0</v>
      </c>
      <c r="F131" s="383">
        <v>6.0</v>
      </c>
      <c r="G131" s="318"/>
      <c r="H131" s="343">
        <v>11.0</v>
      </c>
      <c r="I131" s="342">
        <v>8.0</v>
      </c>
      <c r="J131" s="344"/>
      <c r="K131" s="481" t="s">
        <v>78</v>
      </c>
      <c r="L131" s="259" t="s">
        <v>108</v>
      </c>
      <c r="M131" s="100" t="s">
        <v>73</v>
      </c>
      <c r="O131" s="25"/>
      <c r="P131" s="472">
        <v>3101.0</v>
      </c>
      <c r="Q131" s="485"/>
      <c r="S131" s="25"/>
      <c r="T131" s="467">
        <f t="shared" si="13"/>
        <v>148</v>
      </c>
      <c r="U131" s="422"/>
      <c r="V131" s="265"/>
    </row>
    <row r="132" ht="37.5" customHeight="1">
      <c r="A132" s="37"/>
      <c r="B132" s="265"/>
      <c r="C132" s="265"/>
      <c r="D132" s="265"/>
      <c r="E132" s="265"/>
      <c r="F132" s="265"/>
      <c r="G132" s="265"/>
      <c r="H132" s="265"/>
      <c r="I132" s="265"/>
      <c r="J132" s="292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</row>
    <row r="133">
      <c r="A133" s="37"/>
      <c r="B133" s="265"/>
      <c r="C133" s="294" t="s">
        <v>209</v>
      </c>
      <c r="D133" s="295"/>
      <c r="E133" s="296" t="s">
        <v>241</v>
      </c>
      <c r="F133" s="297"/>
      <c r="G133" s="297"/>
      <c r="H133" s="297"/>
      <c r="I133" s="297"/>
      <c r="J133" s="297"/>
      <c r="K133" s="297"/>
      <c r="L133" s="297"/>
      <c r="M133" s="282"/>
      <c r="N133" s="298" t="s">
        <v>211</v>
      </c>
      <c r="O133" s="268"/>
      <c r="P133" s="57"/>
      <c r="Q133" s="286"/>
      <c r="R133" s="268"/>
      <c r="S133" s="57"/>
      <c r="T133" s="292"/>
      <c r="U133" s="265"/>
      <c r="V133" s="265"/>
    </row>
    <row r="134">
      <c r="A134" s="37"/>
      <c r="B134" s="265"/>
      <c r="C134" s="301" t="s">
        <v>214</v>
      </c>
      <c r="D134" s="372">
        <v>45954.0</v>
      </c>
      <c r="E134" s="303" t="s">
        <v>215</v>
      </c>
      <c r="F134" s="22"/>
      <c r="G134" s="28"/>
      <c r="H134" s="304" t="s">
        <v>216</v>
      </c>
      <c r="I134" s="297"/>
      <c r="J134" s="282"/>
      <c r="K134" s="304"/>
      <c r="L134" s="297"/>
      <c r="M134" s="282"/>
      <c r="N134" s="304"/>
      <c r="O134" s="297"/>
      <c r="P134" s="282"/>
      <c r="Q134" s="304"/>
      <c r="R134" s="297"/>
      <c r="S134" s="282"/>
      <c r="T134" s="265"/>
      <c r="U134" s="265"/>
      <c r="V134" s="265"/>
    </row>
    <row r="135">
      <c r="A135" s="37"/>
      <c r="B135" s="456" t="s">
        <v>261</v>
      </c>
      <c r="C135" s="306" t="s">
        <v>221</v>
      </c>
      <c r="D135" s="306" t="s">
        <v>222</v>
      </c>
      <c r="E135" s="301" t="s">
        <v>223</v>
      </c>
      <c r="F135" s="301" t="s">
        <v>224</v>
      </c>
      <c r="G135" s="301" t="s">
        <v>66</v>
      </c>
      <c r="H135" s="301" t="s">
        <v>223</v>
      </c>
      <c r="I135" s="301" t="s">
        <v>224</v>
      </c>
      <c r="J135" s="301" t="s">
        <v>66</v>
      </c>
      <c r="K135" s="301" t="s">
        <v>268</v>
      </c>
      <c r="L135" s="301" t="s">
        <v>269</v>
      </c>
      <c r="M135" s="468" t="s">
        <v>270</v>
      </c>
      <c r="N135" s="282"/>
      <c r="O135" s="301" t="s">
        <v>271</v>
      </c>
      <c r="P135" s="301"/>
      <c r="Q135" s="301"/>
      <c r="R135" s="301"/>
      <c r="S135" s="301"/>
      <c r="T135" s="307" t="s">
        <v>225</v>
      </c>
      <c r="U135" s="421" t="s">
        <v>263</v>
      </c>
      <c r="V135" s="265"/>
    </row>
    <row r="136">
      <c r="A136" s="37"/>
      <c r="B136" s="308"/>
      <c r="C136" s="309">
        <v>1.0</v>
      </c>
      <c r="D136" s="360" t="s">
        <v>154</v>
      </c>
      <c r="E136" s="413">
        <v>10.0</v>
      </c>
      <c r="F136" s="442">
        <v>10.0</v>
      </c>
      <c r="G136" s="414"/>
      <c r="H136" s="413">
        <v>10.0</v>
      </c>
      <c r="I136" s="442">
        <v>10.0</v>
      </c>
      <c r="J136" s="317"/>
      <c r="K136" s="312">
        <v>2.0</v>
      </c>
      <c r="L136" s="209">
        <v>45573.0</v>
      </c>
      <c r="M136" s="218"/>
      <c r="N136" s="218"/>
      <c r="O136" s="316"/>
      <c r="P136" s="317"/>
      <c r="Q136" s="318"/>
      <c r="R136" s="316"/>
      <c r="S136" s="318"/>
      <c r="T136" s="319">
        <f t="shared" ref="T136:T142" si="14">(E136*F136)+(H136*I136)</f>
        <v>200</v>
      </c>
      <c r="U136" s="422"/>
      <c r="V136" s="265"/>
    </row>
    <row r="137">
      <c r="A137" s="37"/>
      <c r="B137" s="308"/>
      <c r="C137" s="330">
        <v>2.0</v>
      </c>
      <c r="D137" s="358" t="s">
        <v>155</v>
      </c>
      <c r="E137" s="427">
        <v>12.0</v>
      </c>
      <c r="F137" s="427">
        <v>20.0</v>
      </c>
      <c r="G137" s="416"/>
      <c r="H137" s="427">
        <v>16.0</v>
      </c>
      <c r="I137" s="427">
        <v>20.0</v>
      </c>
      <c r="J137" s="339"/>
      <c r="K137" s="333" t="s">
        <v>78</v>
      </c>
      <c r="L137" s="459">
        <v>45636.0</v>
      </c>
      <c r="M137" s="455" t="s">
        <v>73</v>
      </c>
      <c r="O137" s="338"/>
      <c r="P137" s="339"/>
      <c r="Q137" s="336"/>
      <c r="R137" s="338"/>
      <c r="S137" s="336"/>
      <c r="T137" s="319">
        <f t="shared" si="14"/>
        <v>560</v>
      </c>
      <c r="U137" s="422"/>
      <c r="V137" s="265"/>
    </row>
    <row r="138">
      <c r="A138" s="37"/>
      <c r="B138" s="308"/>
      <c r="C138" s="309">
        <v>3.0</v>
      </c>
      <c r="D138" s="360" t="s">
        <v>156</v>
      </c>
      <c r="E138" s="428">
        <v>8.0</v>
      </c>
      <c r="F138" s="428">
        <v>60.0</v>
      </c>
      <c r="G138" s="418"/>
      <c r="H138" s="417">
        <v>8.0</v>
      </c>
      <c r="I138" s="428">
        <v>60.0</v>
      </c>
      <c r="J138" s="344"/>
      <c r="K138" s="342">
        <v>2.0</v>
      </c>
      <c r="L138" s="236">
        <v>45875.0</v>
      </c>
      <c r="M138" s="218"/>
      <c r="N138" s="218"/>
      <c r="O138" s="346"/>
      <c r="P138" s="344"/>
      <c r="Q138" s="318"/>
      <c r="R138" s="346"/>
      <c r="S138" s="318"/>
      <c r="T138" s="319">
        <f t="shared" si="14"/>
        <v>960</v>
      </c>
      <c r="U138" s="422"/>
      <c r="V138" s="265"/>
    </row>
    <row r="139">
      <c r="A139" s="37"/>
      <c r="B139" s="308"/>
      <c r="C139" s="330">
        <v>4.0</v>
      </c>
      <c r="D139" s="358" t="s">
        <v>159</v>
      </c>
      <c r="E139" s="415">
        <v>12.0</v>
      </c>
      <c r="F139" s="427">
        <v>55.0</v>
      </c>
      <c r="G139" s="416"/>
      <c r="H139" s="415">
        <v>12.0</v>
      </c>
      <c r="I139" s="427">
        <v>50.0</v>
      </c>
      <c r="J139" s="339"/>
      <c r="K139" s="333">
        <v>2.0</v>
      </c>
      <c r="L139" s="459">
        <v>45636.0</v>
      </c>
      <c r="M139" s="462"/>
      <c r="N139" s="462"/>
      <c r="O139" s="338"/>
      <c r="P139" s="339"/>
      <c r="Q139" s="336"/>
      <c r="R139" s="338"/>
      <c r="S139" s="336"/>
      <c r="T139" s="319">
        <f t="shared" si="14"/>
        <v>1260</v>
      </c>
      <c r="U139" s="422"/>
      <c r="V139" s="265"/>
    </row>
    <row r="140">
      <c r="A140" s="37"/>
      <c r="B140" s="308"/>
      <c r="C140" s="309">
        <v>5.0</v>
      </c>
      <c r="D140" s="341" t="s">
        <v>265</v>
      </c>
      <c r="E140" s="428">
        <v>7.0</v>
      </c>
      <c r="F140" s="418"/>
      <c r="G140" s="418"/>
      <c r="H140" s="417">
        <v>5.0</v>
      </c>
      <c r="I140" s="418"/>
      <c r="J140" s="344"/>
      <c r="K140" s="342">
        <v>2.0</v>
      </c>
      <c r="L140" s="463">
        <v>45843.0</v>
      </c>
      <c r="M140" s="241"/>
      <c r="N140" s="241"/>
      <c r="O140" s="346"/>
      <c r="P140" s="344"/>
      <c r="Q140" s="318"/>
      <c r="R140" s="346"/>
      <c r="S140" s="318"/>
      <c r="T140" s="319">
        <f t="shared" si="14"/>
        <v>0</v>
      </c>
      <c r="U140" s="422"/>
      <c r="V140" s="265"/>
    </row>
    <row r="141">
      <c r="A141" s="37"/>
      <c r="B141" s="308"/>
      <c r="C141" s="330">
        <v>6.0</v>
      </c>
      <c r="D141" s="358" t="s">
        <v>107</v>
      </c>
      <c r="E141" s="415">
        <v>16.0</v>
      </c>
      <c r="F141" s="415">
        <v>10.0</v>
      </c>
      <c r="G141" s="419"/>
      <c r="H141" s="415">
        <v>21.0</v>
      </c>
      <c r="I141" s="415">
        <v>10.0</v>
      </c>
      <c r="J141" s="339"/>
      <c r="K141" s="338" t="s">
        <v>78</v>
      </c>
      <c r="L141" s="436" t="s">
        <v>134</v>
      </c>
      <c r="M141" s="455" t="s">
        <v>73</v>
      </c>
      <c r="O141" s="338">
        <v>3100.0</v>
      </c>
      <c r="P141" s="339"/>
      <c r="Q141" s="336"/>
      <c r="R141" s="338"/>
      <c r="S141" s="336"/>
      <c r="T141" s="319">
        <f t="shared" si="14"/>
        <v>370</v>
      </c>
      <c r="U141" s="422"/>
      <c r="V141" s="265"/>
    </row>
    <row r="142">
      <c r="A142" s="37"/>
      <c r="B142" s="361"/>
      <c r="C142" s="309">
        <v>7.0</v>
      </c>
      <c r="D142" s="360" t="s">
        <v>163</v>
      </c>
      <c r="E142" s="417">
        <v>16.0</v>
      </c>
      <c r="F142" s="417">
        <v>7.5</v>
      </c>
      <c r="G142" s="420"/>
      <c r="H142" s="417">
        <v>20.0</v>
      </c>
      <c r="I142" s="417">
        <v>7.5</v>
      </c>
      <c r="J142" s="344"/>
      <c r="K142" s="342" t="s">
        <v>78</v>
      </c>
      <c r="L142" s="244" t="s">
        <v>134</v>
      </c>
      <c r="M142" s="97" t="s">
        <v>73</v>
      </c>
      <c r="O142" s="346">
        <v>3101.0</v>
      </c>
      <c r="P142" s="344"/>
      <c r="Q142" s="318"/>
      <c r="R142" s="346"/>
      <c r="S142" s="318"/>
      <c r="T142" s="319">
        <f t="shared" si="14"/>
        <v>270</v>
      </c>
      <c r="U142" s="422"/>
      <c r="V142" s="265"/>
    </row>
    <row r="143" ht="27.0" customHeight="1">
      <c r="A143" s="37"/>
      <c r="B143" s="265"/>
      <c r="C143" s="265"/>
      <c r="D143" s="265"/>
      <c r="E143" s="265"/>
      <c r="F143" s="265"/>
      <c r="G143" s="265"/>
      <c r="H143" s="265"/>
      <c r="I143" s="265"/>
      <c r="J143" s="292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</row>
    <row r="144">
      <c r="A144" s="37"/>
      <c r="B144" s="265"/>
      <c r="C144" s="294" t="s">
        <v>209</v>
      </c>
      <c r="D144" s="295"/>
      <c r="E144" s="296" t="s">
        <v>272</v>
      </c>
      <c r="F144" s="297"/>
      <c r="G144" s="297"/>
      <c r="H144" s="297"/>
      <c r="I144" s="297"/>
      <c r="J144" s="297"/>
      <c r="K144" s="297"/>
      <c r="L144" s="297"/>
      <c r="M144" s="282"/>
      <c r="N144" s="298" t="s">
        <v>211</v>
      </c>
      <c r="O144" s="268"/>
      <c r="P144" s="57"/>
      <c r="Q144" s="286"/>
      <c r="R144" s="268"/>
      <c r="S144" s="57"/>
      <c r="T144" s="292"/>
      <c r="U144" s="265"/>
      <c r="V144" s="265"/>
    </row>
    <row r="145">
      <c r="A145" s="37"/>
      <c r="B145" s="265"/>
      <c r="C145" s="301" t="s">
        <v>214</v>
      </c>
      <c r="D145" s="372">
        <v>45955.0</v>
      </c>
      <c r="E145" s="303" t="s">
        <v>215</v>
      </c>
      <c r="F145" s="22"/>
      <c r="G145" s="28"/>
      <c r="H145" s="304" t="s">
        <v>216</v>
      </c>
      <c r="I145" s="297"/>
      <c r="J145" s="282"/>
      <c r="K145" s="304"/>
      <c r="L145" s="297"/>
      <c r="M145" s="282"/>
      <c r="N145" s="304"/>
      <c r="O145" s="297"/>
      <c r="P145" s="282"/>
      <c r="Q145" s="304"/>
      <c r="R145" s="297"/>
      <c r="S145" s="282"/>
      <c r="T145" s="265"/>
      <c r="U145" s="265"/>
      <c r="V145" s="265"/>
    </row>
    <row r="146">
      <c r="A146" s="37"/>
      <c r="B146" s="470" t="s">
        <v>262</v>
      </c>
      <c r="C146" s="306" t="s">
        <v>221</v>
      </c>
      <c r="D146" s="306" t="s">
        <v>222</v>
      </c>
      <c r="E146" s="301" t="s">
        <v>223</v>
      </c>
      <c r="F146" s="301" t="s">
        <v>224</v>
      </c>
      <c r="G146" s="301" t="s">
        <v>66</v>
      </c>
      <c r="H146" s="301" t="s">
        <v>223</v>
      </c>
      <c r="I146" s="301" t="s">
        <v>224</v>
      </c>
      <c r="J146" s="301" t="s">
        <v>66</v>
      </c>
      <c r="K146" s="301" t="s">
        <v>268</v>
      </c>
      <c r="L146" s="301" t="s">
        <v>269</v>
      </c>
      <c r="M146" s="468" t="s">
        <v>270</v>
      </c>
      <c r="N146" s="282"/>
      <c r="O146" s="301" t="s">
        <v>271</v>
      </c>
      <c r="P146" s="301"/>
      <c r="Q146" s="301"/>
      <c r="R146" s="301"/>
      <c r="S146" s="301"/>
      <c r="T146" s="307" t="s">
        <v>225</v>
      </c>
      <c r="U146" s="421" t="s">
        <v>263</v>
      </c>
      <c r="V146" s="265"/>
    </row>
    <row r="147">
      <c r="A147" s="37"/>
      <c r="B147" s="308"/>
      <c r="C147" s="309">
        <v>1.0</v>
      </c>
      <c r="D147" s="382" t="s">
        <v>167</v>
      </c>
      <c r="E147" s="259">
        <v>16.0</v>
      </c>
      <c r="F147" s="312">
        <v>50.0</v>
      </c>
      <c r="G147" s="375"/>
      <c r="H147" s="259">
        <v>20.0</v>
      </c>
      <c r="I147" s="375">
        <v>50.0</v>
      </c>
      <c r="J147" s="316"/>
      <c r="K147" s="316">
        <v>2.0</v>
      </c>
      <c r="L147" s="222" t="s">
        <v>134</v>
      </c>
      <c r="M147" s="315" t="s">
        <v>124</v>
      </c>
      <c r="N147" s="270"/>
      <c r="O147" s="316"/>
      <c r="P147" s="317"/>
      <c r="Q147" s="318"/>
      <c r="R147" s="316"/>
      <c r="S147" s="318"/>
      <c r="T147" s="319">
        <f t="shared" ref="T147:T152" si="15">(E147*F147)+(H147*I147)</f>
        <v>1800</v>
      </c>
      <c r="U147" s="422"/>
      <c r="V147" s="265"/>
    </row>
    <row r="148" ht="33.75" customHeight="1">
      <c r="A148" s="37"/>
      <c r="B148" s="308"/>
      <c r="C148" s="330">
        <v>2.0</v>
      </c>
      <c r="D148" s="358" t="s">
        <v>169</v>
      </c>
      <c r="E148" s="423">
        <v>16.0</v>
      </c>
      <c r="F148" s="333">
        <v>15.0</v>
      </c>
      <c r="G148" s="379"/>
      <c r="H148" s="423">
        <v>18.0</v>
      </c>
      <c r="I148" s="379">
        <v>15.0</v>
      </c>
      <c r="J148" s="338"/>
      <c r="K148" s="338" t="s">
        <v>78</v>
      </c>
      <c r="L148" s="436" t="s">
        <v>134</v>
      </c>
      <c r="M148" s="337" t="s">
        <v>73</v>
      </c>
      <c r="N148" s="25"/>
      <c r="O148" s="338"/>
      <c r="P148" s="339"/>
      <c r="Q148" s="336"/>
      <c r="R148" s="338"/>
      <c r="S148" s="336"/>
      <c r="T148" s="319">
        <f t="shared" si="15"/>
        <v>510</v>
      </c>
      <c r="U148" s="422"/>
      <c r="V148" s="265"/>
    </row>
    <row r="149">
      <c r="A149" s="37"/>
      <c r="B149" s="308"/>
      <c r="C149" s="309">
        <v>5.0</v>
      </c>
      <c r="D149" s="341" t="s">
        <v>172</v>
      </c>
      <c r="E149" s="244">
        <v>12.0</v>
      </c>
      <c r="F149" s="342">
        <v>70.0</v>
      </c>
      <c r="G149" s="383"/>
      <c r="H149" s="244">
        <v>14.0</v>
      </c>
      <c r="I149" s="383">
        <v>70.0</v>
      </c>
      <c r="J149" s="346"/>
      <c r="K149" s="346" t="s">
        <v>78</v>
      </c>
      <c r="L149" s="239">
        <v>45636.0</v>
      </c>
      <c r="M149" s="345" t="s">
        <v>73</v>
      </c>
      <c r="N149" s="25"/>
      <c r="O149" s="346"/>
      <c r="P149" s="344"/>
      <c r="Q149" s="318"/>
      <c r="R149" s="346"/>
      <c r="S149" s="318"/>
      <c r="T149" s="319">
        <f t="shared" si="15"/>
        <v>1820</v>
      </c>
      <c r="U149" s="422"/>
      <c r="V149" s="265"/>
    </row>
    <row r="150" ht="34.5" customHeight="1">
      <c r="A150" s="37"/>
      <c r="B150" s="308"/>
      <c r="C150" s="330">
        <v>7.0</v>
      </c>
      <c r="D150" s="358" t="s">
        <v>104</v>
      </c>
      <c r="E150" s="423">
        <v>10.0</v>
      </c>
      <c r="F150" s="333">
        <v>10.0</v>
      </c>
      <c r="G150" s="379"/>
      <c r="H150" s="423">
        <v>10.0</v>
      </c>
      <c r="I150" s="379">
        <v>10.0</v>
      </c>
      <c r="J150" s="338"/>
      <c r="K150" s="338">
        <v>2.0</v>
      </c>
      <c r="L150" s="436">
        <v>45634.0</v>
      </c>
      <c r="M150" s="337" t="s">
        <v>124</v>
      </c>
      <c r="N150" s="25"/>
      <c r="O150" s="338"/>
      <c r="P150" s="339"/>
      <c r="Q150" s="336"/>
      <c r="R150" s="338"/>
      <c r="S150" s="336"/>
      <c r="T150" s="319">
        <f t="shared" si="15"/>
        <v>200</v>
      </c>
      <c r="U150" s="422"/>
      <c r="V150" s="265"/>
    </row>
    <row r="151">
      <c r="A151" s="37"/>
      <c r="B151" s="308"/>
      <c r="C151" s="309">
        <v>8.0</v>
      </c>
      <c r="D151" s="341" t="s">
        <v>145</v>
      </c>
      <c r="E151" s="244">
        <v>10.0</v>
      </c>
      <c r="F151" s="342">
        <v>70.0</v>
      </c>
      <c r="G151" s="383"/>
      <c r="H151" s="244">
        <v>10.0</v>
      </c>
      <c r="I151" s="383">
        <v>70.0</v>
      </c>
      <c r="J151" s="346"/>
      <c r="K151" s="346">
        <v>2.0</v>
      </c>
      <c r="L151" s="239">
        <v>45938.0</v>
      </c>
      <c r="M151" s="345"/>
      <c r="N151" s="25"/>
      <c r="O151" s="346"/>
      <c r="P151" s="344"/>
      <c r="Q151" s="318"/>
      <c r="R151" s="346"/>
      <c r="S151" s="318"/>
      <c r="T151" s="319">
        <f t="shared" si="15"/>
        <v>1400</v>
      </c>
      <c r="U151" s="422"/>
      <c r="V151" s="265"/>
    </row>
    <row r="152">
      <c r="A152" s="37"/>
      <c r="B152" s="361"/>
      <c r="C152" s="330">
        <v>11.0</v>
      </c>
      <c r="D152" s="358" t="s">
        <v>149</v>
      </c>
      <c r="E152" s="378">
        <v>12.0</v>
      </c>
      <c r="F152" s="333">
        <v>20.0</v>
      </c>
      <c r="G152" s="378"/>
      <c r="H152" s="381">
        <v>12.0</v>
      </c>
      <c r="I152" s="333">
        <v>20.0</v>
      </c>
      <c r="J152" s="338"/>
      <c r="K152" s="338">
        <v>2.0</v>
      </c>
      <c r="L152" s="469">
        <v>45999.0</v>
      </c>
      <c r="M152" s="462"/>
      <c r="N152" s="459"/>
      <c r="O152" s="338">
        <v>3101.0</v>
      </c>
      <c r="P152" s="462"/>
      <c r="Q152" s="462"/>
      <c r="R152" s="462"/>
      <c r="S152" s="462"/>
      <c r="T152" s="319">
        <f t="shared" si="15"/>
        <v>480</v>
      </c>
      <c r="U152" s="422"/>
      <c r="V152" s="265"/>
    </row>
    <row r="153" ht="31.5" customHeight="1">
      <c r="A153" s="37"/>
      <c r="B153" s="265"/>
      <c r="C153" s="487"/>
      <c r="D153" s="277"/>
      <c r="E153" s="277"/>
      <c r="F153" s="488"/>
      <c r="G153" s="277"/>
      <c r="H153" s="271"/>
      <c r="I153" s="488"/>
      <c r="J153" s="488"/>
      <c r="K153" s="488"/>
      <c r="L153" s="277"/>
      <c r="M153" s="271"/>
      <c r="N153" s="277"/>
      <c r="O153" s="277"/>
      <c r="P153" s="277"/>
      <c r="Q153" s="277"/>
      <c r="R153" s="277"/>
      <c r="S153" s="277"/>
      <c r="T153" s="292"/>
      <c r="U153" s="265"/>
      <c r="V153" s="265"/>
    </row>
    <row r="154">
      <c r="A154" s="37"/>
      <c r="B154" s="265"/>
      <c r="C154" s="294" t="s">
        <v>209</v>
      </c>
      <c r="D154" s="295"/>
      <c r="E154" s="296" t="s">
        <v>210</v>
      </c>
      <c r="F154" s="297"/>
      <c r="G154" s="297"/>
      <c r="H154" s="297"/>
      <c r="I154" s="297"/>
      <c r="J154" s="297"/>
      <c r="K154" s="297"/>
      <c r="L154" s="297"/>
      <c r="M154" s="282"/>
      <c r="N154" s="298" t="s">
        <v>211</v>
      </c>
      <c r="O154" s="268"/>
      <c r="P154" s="57"/>
      <c r="Q154" s="286"/>
      <c r="R154" s="268"/>
      <c r="S154" s="57"/>
      <c r="T154" s="292"/>
      <c r="U154" s="265"/>
      <c r="V154" s="265"/>
    </row>
    <row r="155">
      <c r="A155" s="37"/>
      <c r="B155" s="265"/>
      <c r="C155" s="301" t="s">
        <v>214</v>
      </c>
      <c r="D155" s="302">
        <v>45957.0</v>
      </c>
      <c r="E155" s="303" t="s">
        <v>215</v>
      </c>
      <c r="F155" s="22"/>
      <c r="G155" s="28"/>
      <c r="H155" s="304" t="s">
        <v>216</v>
      </c>
      <c r="I155" s="297"/>
      <c r="J155" s="282"/>
      <c r="K155" s="304"/>
      <c r="L155" s="297"/>
      <c r="M155" s="282"/>
      <c r="N155" s="304"/>
      <c r="O155" s="297"/>
      <c r="P155" s="282"/>
      <c r="Q155" s="304"/>
      <c r="R155" s="297"/>
      <c r="S155" s="282"/>
      <c r="T155" s="265"/>
      <c r="U155" s="265"/>
      <c r="V155" s="265"/>
    </row>
    <row r="156">
      <c r="A156" s="37"/>
      <c r="B156" s="470" t="s">
        <v>273</v>
      </c>
      <c r="C156" s="306" t="s">
        <v>221</v>
      </c>
      <c r="D156" s="306" t="s">
        <v>222</v>
      </c>
      <c r="E156" s="301" t="s">
        <v>223</v>
      </c>
      <c r="F156" s="301" t="s">
        <v>224</v>
      </c>
      <c r="G156" s="301" t="s">
        <v>66</v>
      </c>
      <c r="H156" s="301" t="s">
        <v>223</v>
      </c>
      <c r="I156" s="301" t="s">
        <v>224</v>
      </c>
      <c r="J156" s="301" t="s">
        <v>66</v>
      </c>
      <c r="K156" s="301" t="s">
        <v>64</v>
      </c>
      <c r="L156" s="301" t="s">
        <v>223</v>
      </c>
      <c r="M156" s="444" t="s">
        <v>266</v>
      </c>
      <c r="N156" s="282"/>
      <c r="O156" s="301" t="s">
        <v>271</v>
      </c>
      <c r="P156" s="301"/>
      <c r="Q156" s="301"/>
      <c r="R156" s="301"/>
      <c r="S156" s="466"/>
      <c r="T156" s="307" t="s">
        <v>225</v>
      </c>
      <c r="U156" s="421" t="s">
        <v>263</v>
      </c>
      <c r="V156" s="265"/>
    </row>
    <row r="157">
      <c r="A157" s="37"/>
      <c r="B157" s="308"/>
      <c r="C157" s="309">
        <v>1.0</v>
      </c>
      <c r="D157" s="382" t="s">
        <v>167</v>
      </c>
      <c r="E157" s="259">
        <v>16.0</v>
      </c>
      <c r="F157" s="312">
        <v>50.0</v>
      </c>
      <c r="G157" s="375"/>
      <c r="H157" s="259">
        <v>20.0</v>
      </c>
      <c r="I157" s="375">
        <v>50.0</v>
      </c>
      <c r="J157" s="316"/>
      <c r="K157" s="316">
        <v>2.0</v>
      </c>
      <c r="L157" s="222" t="s">
        <v>134</v>
      </c>
      <c r="M157" s="315" t="s">
        <v>124</v>
      </c>
      <c r="N157" s="270"/>
      <c r="O157" s="316"/>
      <c r="P157" s="316"/>
      <c r="Q157" s="222"/>
      <c r="R157" s="316"/>
      <c r="S157" s="316"/>
      <c r="T157" s="467">
        <f t="shared" ref="T157:T162" si="16">(E157*F157)+(H157*I157)</f>
        <v>1800</v>
      </c>
      <c r="U157" s="422"/>
      <c r="V157" s="265"/>
    </row>
    <row r="158">
      <c r="A158" s="37"/>
      <c r="B158" s="308"/>
      <c r="C158" s="330">
        <v>2.0</v>
      </c>
      <c r="D158" s="358" t="s">
        <v>169</v>
      </c>
      <c r="E158" s="423">
        <v>16.0</v>
      </c>
      <c r="F158" s="333">
        <v>15.0</v>
      </c>
      <c r="G158" s="379"/>
      <c r="H158" s="423">
        <v>18.0</v>
      </c>
      <c r="I158" s="379">
        <v>15.0</v>
      </c>
      <c r="J158" s="338"/>
      <c r="K158" s="338" t="s">
        <v>78</v>
      </c>
      <c r="L158" s="436" t="s">
        <v>134</v>
      </c>
      <c r="M158" s="337" t="s">
        <v>73</v>
      </c>
      <c r="N158" s="25"/>
      <c r="O158" s="338"/>
      <c r="P158" s="338"/>
      <c r="Q158" s="436"/>
      <c r="R158" s="338"/>
      <c r="S158" s="338"/>
      <c r="T158" s="467">
        <f t="shared" si="16"/>
        <v>510</v>
      </c>
      <c r="U158" s="422"/>
      <c r="V158" s="265"/>
    </row>
    <row r="159">
      <c r="A159" s="37"/>
      <c r="B159" s="308"/>
      <c r="C159" s="309">
        <v>3.0</v>
      </c>
      <c r="D159" s="360" t="s">
        <v>170</v>
      </c>
      <c r="E159" s="259">
        <v>8.0</v>
      </c>
      <c r="F159" s="342">
        <v>80.0</v>
      </c>
      <c r="G159" s="383"/>
      <c r="H159" s="259">
        <v>8.0</v>
      </c>
      <c r="I159" s="383">
        <v>80.0</v>
      </c>
      <c r="J159" s="346"/>
      <c r="K159" s="346">
        <v>2.0</v>
      </c>
      <c r="L159" s="209">
        <v>45510.0</v>
      </c>
      <c r="M159" s="346"/>
      <c r="N159" s="318"/>
      <c r="O159" s="346"/>
      <c r="P159" s="346"/>
      <c r="Q159" s="209"/>
      <c r="R159" s="346"/>
      <c r="S159" s="346"/>
      <c r="T159" s="467">
        <f t="shared" si="16"/>
        <v>1280</v>
      </c>
      <c r="U159" s="422"/>
      <c r="V159" s="265"/>
    </row>
    <row r="160">
      <c r="A160" s="37"/>
      <c r="B160" s="308"/>
      <c r="C160" s="330">
        <v>4.0</v>
      </c>
      <c r="D160" s="358" t="s">
        <v>171</v>
      </c>
      <c r="E160" s="423">
        <v>10.0</v>
      </c>
      <c r="F160" s="333">
        <v>150.0</v>
      </c>
      <c r="G160" s="379"/>
      <c r="H160" s="423">
        <v>10.0</v>
      </c>
      <c r="I160" s="379">
        <v>150.0</v>
      </c>
      <c r="J160" s="338"/>
      <c r="K160" s="338">
        <v>2.0</v>
      </c>
      <c r="L160" s="459">
        <v>45573.0</v>
      </c>
      <c r="M160" s="338"/>
      <c r="N160" s="336"/>
      <c r="O160" s="338"/>
      <c r="P160" s="338"/>
      <c r="Q160" s="459"/>
      <c r="R160" s="338"/>
      <c r="S160" s="338"/>
      <c r="T160" s="467">
        <f t="shared" si="16"/>
        <v>3000</v>
      </c>
      <c r="U160" s="422"/>
      <c r="V160" s="265"/>
    </row>
    <row r="161">
      <c r="A161" s="37"/>
      <c r="B161" s="308"/>
      <c r="C161" s="309">
        <v>5.0</v>
      </c>
      <c r="D161" s="382" t="s">
        <v>172</v>
      </c>
      <c r="E161" s="244">
        <v>12.0</v>
      </c>
      <c r="F161" s="342">
        <v>70.0</v>
      </c>
      <c r="G161" s="383"/>
      <c r="H161" s="244">
        <v>14.0</v>
      </c>
      <c r="I161" s="383">
        <v>70.0</v>
      </c>
      <c r="J161" s="346"/>
      <c r="K161" s="346" t="s">
        <v>78</v>
      </c>
      <c r="L161" s="239">
        <v>45636.0</v>
      </c>
      <c r="M161" s="345" t="s">
        <v>73</v>
      </c>
      <c r="N161" s="25"/>
      <c r="O161" s="346"/>
      <c r="P161" s="346"/>
      <c r="Q161" s="239"/>
      <c r="R161" s="346"/>
      <c r="S161" s="346"/>
      <c r="T161" s="467">
        <f t="shared" si="16"/>
        <v>1820</v>
      </c>
      <c r="U161" s="422"/>
      <c r="V161" s="265"/>
    </row>
    <row r="162">
      <c r="A162" s="37"/>
      <c r="B162" s="361"/>
      <c r="C162" s="330">
        <v>6.0</v>
      </c>
      <c r="D162" s="358" t="s">
        <v>174</v>
      </c>
      <c r="E162" s="423">
        <v>12.0</v>
      </c>
      <c r="F162" s="333">
        <v>22.5</v>
      </c>
      <c r="G162" s="379"/>
      <c r="H162" s="423">
        <v>10.0</v>
      </c>
      <c r="I162" s="379">
        <v>22.5</v>
      </c>
      <c r="J162" s="338"/>
      <c r="K162" s="338">
        <v>2.0</v>
      </c>
      <c r="L162" s="424">
        <v>45999.0</v>
      </c>
      <c r="M162" s="338"/>
      <c r="N162" s="336"/>
      <c r="O162" s="338"/>
      <c r="P162" s="338"/>
      <c r="Q162" s="424"/>
      <c r="R162" s="338"/>
      <c r="S162" s="338"/>
      <c r="T162" s="467">
        <f t="shared" si="16"/>
        <v>495</v>
      </c>
      <c r="U162" s="422"/>
      <c r="V162" s="265"/>
    </row>
    <row r="163" ht="33.0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>
      <c r="A164" s="37"/>
      <c r="B164" s="265"/>
      <c r="C164" s="294" t="s">
        <v>209</v>
      </c>
      <c r="D164" s="295"/>
      <c r="E164" s="296" t="s">
        <v>248</v>
      </c>
      <c r="F164" s="297"/>
      <c r="G164" s="297"/>
      <c r="H164" s="297"/>
      <c r="I164" s="297"/>
      <c r="J164" s="297"/>
      <c r="K164" s="297"/>
      <c r="L164" s="297"/>
      <c r="M164" s="282"/>
      <c r="N164" s="298" t="s">
        <v>211</v>
      </c>
      <c r="O164" s="268"/>
      <c r="P164" s="57"/>
      <c r="Q164" s="286"/>
      <c r="R164" s="268"/>
      <c r="S164" s="57"/>
      <c r="T164" s="292"/>
      <c r="U164" s="265"/>
      <c r="V164" s="265"/>
    </row>
    <row r="165">
      <c r="A165" s="37"/>
      <c r="B165" s="265"/>
      <c r="C165" s="301" t="s">
        <v>214</v>
      </c>
      <c r="D165" s="302">
        <v>45959.0</v>
      </c>
      <c r="E165" s="303" t="s">
        <v>215</v>
      </c>
      <c r="F165" s="22"/>
      <c r="G165" s="28"/>
      <c r="H165" s="304" t="s">
        <v>216</v>
      </c>
      <c r="I165" s="297"/>
      <c r="J165" s="282"/>
      <c r="K165" s="304"/>
      <c r="L165" s="297"/>
      <c r="M165" s="282"/>
      <c r="N165" s="304"/>
      <c r="O165" s="297"/>
      <c r="P165" s="282"/>
      <c r="Q165" s="304"/>
      <c r="R165" s="297"/>
      <c r="S165" s="282"/>
      <c r="T165" s="265"/>
      <c r="U165" s="265"/>
      <c r="V165" s="265"/>
    </row>
    <row r="166">
      <c r="A166" s="37"/>
      <c r="B166" s="456" t="s">
        <v>274</v>
      </c>
      <c r="C166" s="306" t="s">
        <v>221</v>
      </c>
      <c r="D166" s="306" t="s">
        <v>222</v>
      </c>
      <c r="E166" s="301" t="s">
        <v>223</v>
      </c>
      <c r="F166" s="301" t="s">
        <v>224</v>
      </c>
      <c r="G166" s="301" t="s">
        <v>66</v>
      </c>
      <c r="H166" s="301" t="s">
        <v>223</v>
      </c>
      <c r="I166" s="301" t="s">
        <v>224</v>
      </c>
      <c r="J166" s="301" t="s">
        <v>66</v>
      </c>
      <c r="K166" s="301" t="s">
        <v>64</v>
      </c>
      <c r="L166" s="301" t="s">
        <v>223</v>
      </c>
      <c r="M166" s="444" t="s">
        <v>266</v>
      </c>
      <c r="N166" s="282"/>
      <c r="O166" s="301" t="s">
        <v>271</v>
      </c>
      <c r="P166" s="301"/>
      <c r="Q166" s="301"/>
      <c r="R166" s="301"/>
      <c r="S166" s="466"/>
      <c r="T166" s="307" t="s">
        <v>225</v>
      </c>
      <c r="U166" s="421" t="s">
        <v>263</v>
      </c>
      <c r="V166" s="265"/>
    </row>
    <row r="167">
      <c r="A167" s="37"/>
      <c r="B167" s="308"/>
      <c r="C167" s="309">
        <v>1.0</v>
      </c>
      <c r="D167" s="373" t="s">
        <v>130</v>
      </c>
      <c r="E167" s="259">
        <v>12.0</v>
      </c>
      <c r="F167" s="375">
        <v>12.0</v>
      </c>
      <c r="G167" s="384"/>
      <c r="H167" s="376">
        <v>12.0</v>
      </c>
      <c r="I167" s="375">
        <v>12.0</v>
      </c>
      <c r="J167" s="315"/>
      <c r="K167" s="316">
        <v>2.0</v>
      </c>
      <c r="L167" s="236">
        <v>45999.0</v>
      </c>
      <c r="M167" s="346"/>
      <c r="N167" s="317"/>
      <c r="O167" s="316"/>
      <c r="P167" s="316"/>
      <c r="Q167" s="222"/>
      <c r="R167" s="316"/>
      <c r="S167" s="316"/>
      <c r="T167" s="467">
        <f t="shared" ref="T167:T173" si="17">(E167*F167)+(H167*I167)</f>
        <v>288</v>
      </c>
      <c r="U167" s="422"/>
      <c r="V167" s="265"/>
    </row>
    <row r="168">
      <c r="A168" s="37"/>
      <c r="B168" s="308"/>
      <c r="C168" s="330">
        <v>2.0</v>
      </c>
      <c r="D168" s="377" t="s">
        <v>183</v>
      </c>
      <c r="E168" s="423">
        <v>14.0</v>
      </c>
      <c r="F168" s="379">
        <v>15.0</v>
      </c>
      <c r="G168" s="380"/>
      <c r="H168" s="381">
        <v>14.0</v>
      </c>
      <c r="I168" s="379">
        <v>15.0</v>
      </c>
      <c r="J168" s="337"/>
      <c r="K168" s="338" t="s">
        <v>78</v>
      </c>
      <c r="L168" s="436" t="s">
        <v>134</v>
      </c>
      <c r="M168" s="337" t="s">
        <v>73</v>
      </c>
      <c r="N168" s="25"/>
      <c r="O168" s="338">
        <v>3101.0</v>
      </c>
      <c r="P168" s="338"/>
      <c r="Q168" s="436"/>
      <c r="R168" s="338"/>
      <c r="S168" s="338"/>
      <c r="T168" s="467">
        <f t="shared" si="17"/>
        <v>420</v>
      </c>
      <c r="U168" s="422"/>
      <c r="V168" s="265"/>
    </row>
    <row r="169">
      <c r="A169" s="37"/>
      <c r="B169" s="308"/>
      <c r="C169" s="309">
        <v>3.0</v>
      </c>
      <c r="D169" s="382" t="s">
        <v>131</v>
      </c>
      <c r="E169" s="259">
        <v>12.0</v>
      </c>
      <c r="F169" s="383">
        <v>50.0</v>
      </c>
      <c r="H169" s="385">
        <v>12.0</v>
      </c>
      <c r="I169" s="383">
        <v>50.0</v>
      </c>
      <c r="J169" s="345"/>
      <c r="K169" s="346">
        <v>2.0</v>
      </c>
      <c r="L169" s="209">
        <v>45634.0</v>
      </c>
      <c r="M169" s="346"/>
      <c r="N169" s="318"/>
      <c r="O169" s="346"/>
      <c r="P169" s="346"/>
      <c r="Q169" s="209"/>
      <c r="R169" s="346"/>
      <c r="S169" s="346"/>
      <c r="T169" s="467">
        <f t="shared" si="17"/>
        <v>1200</v>
      </c>
      <c r="U169" s="422"/>
      <c r="V169" s="265"/>
    </row>
    <row r="170">
      <c r="A170" s="37"/>
      <c r="B170" s="308"/>
      <c r="C170" s="330">
        <v>4.0</v>
      </c>
      <c r="D170" s="377" t="s">
        <v>106</v>
      </c>
      <c r="E170" s="423">
        <v>10.0</v>
      </c>
      <c r="F170" s="379">
        <v>70.0</v>
      </c>
      <c r="G170" s="380"/>
      <c r="H170" s="381">
        <v>8.0</v>
      </c>
      <c r="I170" s="379">
        <v>60.0</v>
      </c>
      <c r="J170" s="337"/>
      <c r="K170" s="338">
        <v>2.0</v>
      </c>
      <c r="L170" s="459">
        <v>45573.0</v>
      </c>
      <c r="M170" s="338"/>
      <c r="N170" s="336"/>
      <c r="O170" s="338">
        <v>3101.0</v>
      </c>
      <c r="P170" s="338"/>
      <c r="Q170" s="459"/>
      <c r="R170" s="338"/>
      <c r="S170" s="338"/>
      <c r="T170" s="467">
        <f t="shared" si="17"/>
        <v>1180</v>
      </c>
      <c r="U170" s="422"/>
      <c r="V170" s="265"/>
    </row>
    <row r="171">
      <c r="A171" s="37"/>
      <c r="B171" s="308"/>
      <c r="C171" s="309">
        <v>5.0</v>
      </c>
      <c r="D171" s="382" t="s">
        <v>185</v>
      </c>
      <c r="E171" s="244">
        <v>12.0</v>
      </c>
      <c r="F171" s="383">
        <v>35.0</v>
      </c>
      <c r="G171" s="384"/>
      <c r="H171" s="385">
        <v>10.0</v>
      </c>
      <c r="I171" s="383">
        <v>35.0</v>
      </c>
      <c r="J171" s="345"/>
      <c r="K171" s="346">
        <v>2.0</v>
      </c>
      <c r="L171" s="239">
        <v>45636.0</v>
      </c>
      <c r="M171" s="346"/>
      <c r="N171" s="344"/>
      <c r="O171" s="346"/>
      <c r="P171" s="346"/>
      <c r="Q171" s="239"/>
      <c r="R171" s="346"/>
      <c r="S171" s="346"/>
      <c r="T171" s="467">
        <f t="shared" si="17"/>
        <v>770</v>
      </c>
      <c r="U171" s="422"/>
      <c r="V171" s="265"/>
    </row>
    <row r="172">
      <c r="A172" s="37"/>
      <c r="B172" s="308"/>
      <c r="C172" s="330">
        <v>6.0</v>
      </c>
      <c r="D172" s="331" t="s">
        <v>186</v>
      </c>
      <c r="E172" s="423">
        <v>12.0</v>
      </c>
      <c r="F172" s="379">
        <v>70.0</v>
      </c>
      <c r="G172" s="380"/>
      <c r="H172" s="381">
        <v>12.0</v>
      </c>
      <c r="I172" s="379">
        <v>70.0</v>
      </c>
      <c r="J172" s="337"/>
      <c r="K172" s="338">
        <v>2.0</v>
      </c>
      <c r="L172" s="424">
        <v>46001.0</v>
      </c>
      <c r="M172" s="338"/>
      <c r="N172" s="336"/>
      <c r="O172" s="338"/>
      <c r="P172" s="338"/>
      <c r="Q172" s="424"/>
      <c r="R172" s="338"/>
      <c r="S172" s="338"/>
      <c r="T172" s="467">
        <f t="shared" si="17"/>
        <v>1680</v>
      </c>
      <c r="U172" s="422"/>
      <c r="V172" s="265"/>
    </row>
    <row r="173" ht="33.0" customHeight="1">
      <c r="A173" s="37"/>
      <c r="B173" s="361"/>
      <c r="C173" s="330">
        <v>7.0</v>
      </c>
      <c r="D173" s="382" t="s">
        <v>187</v>
      </c>
      <c r="E173" s="259">
        <v>12.0</v>
      </c>
      <c r="F173" s="342">
        <v>10.0</v>
      </c>
      <c r="G173" s="318"/>
      <c r="H173" s="343">
        <v>10.0</v>
      </c>
      <c r="I173" s="342">
        <v>15.0</v>
      </c>
      <c r="J173" s="345"/>
      <c r="K173" s="346" t="s">
        <v>78</v>
      </c>
      <c r="L173" s="236">
        <v>45999.0</v>
      </c>
      <c r="M173" s="100" t="s">
        <v>73</v>
      </c>
      <c r="O173" s="261">
        <v>3101.0</v>
      </c>
      <c r="P173" s="346"/>
      <c r="Q173" s="239"/>
      <c r="R173" s="346"/>
      <c r="S173" s="261"/>
      <c r="T173" s="467">
        <f t="shared" si="17"/>
        <v>270</v>
      </c>
      <c r="U173" s="422"/>
      <c r="V173" s="37"/>
    </row>
    <row r="174" ht="33.0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</sheetData>
  <mergeCells count="261">
    <mergeCell ref="B103:B110"/>
    <mergeCell ref="C112:D112"/>
    <mergeCell ref="E112:M112"/>
    <mergeCell ref="N112:P112"/>
    <mergeCell ref="Q112:S112"/>
    <mergeCell ref="E113:G113"/>
    <mergeCell ref="H113:J113"/>
    <mergeCell ref="Q113:S113"/>
    <mergeCell ref="K113:M113"/>
    <mergeCell ref="N113:P113"/>
    <mergeCell ref="B114:B120"/>
    <mergeCell ref="P114:R114"/>
    <mergeCell ref="P115:R115"/>
    <mergeCell ref="P116:R116"/>
    <mergeCell ref="P117:R117"/>
    <mergeCell ref="K90:M90"/>
    <mergeCell ref="M91:N91"/>
    <mergeCell ref="M92:N92"/>
    <mergeCell ref="M95:N95"/>
    <mergeCell ref="M96:N96"/>
    <mergeCell ref="M98:N98"/>
    <mergeCell ref="C89:D89"/>
    <mergeCell ref="E89:M89"/>
    <mergeCell ref="N89:P89"/>
    <mergeCell ref="Q89:S89"/>
    <mergeCell ref="E90:G90"/>
    <mergeCell ref="H90:J90"/>
    <mergeCell ref="B91:B98"/>
    <mergeCell ref="N102:P102"/>
    <mergeCell ref="Q102:S102"/>
    <mergeCell ref="C101:D101"/>
    <mergeCell ref="E101:M101"/>
    <mergeCell ref="N101:P101"/>
    <mergeCell ref="Q101:S101"/>
    <mergeCell ref="E102:G102"/>
    <mergeCell ref="H102:J102"/>
    <mergeCell ref="K102:M102"/>
    <mergeCell ref="Q125:S125"/>
    <mergeCell ref="Q126:S126"/>
    <mergeCell ref="M127:O127"/>
    <mergeCell ref="Q127:S127"/>
    <mergeCell ref="M128:O128"/>
    <mergeCell ref="Q128:S128"/>
    <mergeCell ref="M129:O129"/>
    <mergeCell ref="Q129:S129"/>
    <mergeCell ref="M130:O130"/>
    <mergeCell ref="Q130:S130"/>
    <mergeCell ref="M131:O131"/>
    <mergeCell ref="Q131:S131"/>
    <mergeCell ref="H123:J123"/>
    <mergeCell ref="K123:M123"/>
    <mergeCell ref="B124:B131"/>
    <mergeCell ref="M124:O124"/>
    <mergeCell ref="Q124:S124"/>
    <mergeCell ref="M125:O125"/>
    <mergeCell ref="M126:O126"/>
    <mergeCell ref="N134:P134"/>
    <mergeCell ref="Q134:S134"/>
    <mergeCell ref="K145:M145"/>
    <mergeCell ref="E154:M154"/>
    <mergeCell ref="N154:P154"/>
    <mergeCell ref="Q154:S154"/>
    <mergeCell ref="E155:G155"/>
    <mergeCell ref="H155:J155"/>
    <mergeCell ref="K155:M155"/>
    <mergeCell ref="M151:N151"/>
    <mergeCell ref="M161:N161"/>
    <mergeCell ref="E164:M164"/>
    <mergeCell ref="N164:P164"/>
    <mergeCell ref="Q164:S164"/>
    <mergeCell ref="E165:G165"/>
    <mergeCell ref="H165:J165"/>
    <mergeCell ref="Q165:S165"/>
    <mergeCell ref="K134:M134"/>
    <mergeCell ref="M135:N135"/>
    <mergeCell ref="B135:B142"/>
    <mergeCell ref="C144:D144"/>
    <mergeCell ref="B146:B152"/>
    <mergeCell ref="C154:D154"/>
    <mergeCell ref="B156:B162"/>
    <mergeCell ref="C164:D164"/>
    <mergeCell ref="B166:B173"/>
    <mergeCell ref="C133:D133"/>
    <mergeCell ref="E133:M133"/>
    <mergeCell ref="N133:P133"/>
    <mergeCell ref="Q133:S133"/>
    <mergeCell ref="E134:G134"/>
    <mergeCell ref="H134:J134"/>
    <mergeCell ref="M142:N142"/>
    <mergeCell ref="E144:M144"/>
    <mergeCell ref="N144:P144"/>
    <mergeCell ref="Q144:S144"/>
    <mergeCell ref="E145:G145"/>
    <mergeCell ref="H145:J145"/>
    <mergeCell ref="N145:P145"/>
    <mergeCell ref="Q145:S145"/>
    <mergeCell ref="N155:P155"/>
    <mergeCell ref="Q155:S155"/>
    <mergeCell ref="M156:N156"/>
    <mergeCell ref="M157:N157"/>
    <mergeCell ref="M158:N158"/>
    <mergeCell ref="M137:N137"/>
    <mergeCell ref="M141:N141"/>
    <mergeCell ref="M146:N146"/>
    <mergeCell ref="M147:N147"/>
    <mergeCell ref="M148:N148"/>
    <mergeCell ref="M149:N149"/>
    <mergeCell ref="M150:N150"/>
    <mergeCell ref="K165:M165"/>
    <mergeCell ref="N165:P165"/>
    <mergeCell ref="M166:N166"/>
    <mergeCell ref="M168:N168"/>
    <mergeCell ref="M173:N173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K11:L11"/>
    <mergeCell ref="E14:M14"/>
    <mergeCell ref="N14:P14"/>
    <mergeCell ref="Q14:S14"/>
    <mergeCell ref="C14:D14"/>
    <mergeCell ref="E15:G15"/>
    <mergeCell ref="H15:J15"/>
    <mergeCell ref="K15:M15"/>
    <mergeCell ref="N15:P15"/>
    <mergeCell ref="Q15:S15"/>
    <mergeCell ref="M16:N16"/>
    <mergeCell ref="N25:P25"/>
    <mergeCell ref="Q25:S25"/>
    <mergeCell ref="E26:G26"/>
    <mergeCell ref="H26:J26"/>
    <mergeCell ref="K26:M26"/>
    <mergeCell ref="N26:P26"/>
    <mergeCell ref="Q26:S26"/>
    <mergeCell ref="M21:N21"/>
    <mergeCell ref="Q21:R21"/>
    <mergeCell ref="M22:N22"/>
    <mergeCell ref="Q22:R22"/>
    <mergeCell ref="M23:N23"/>
    <mergeCell ref="Q23:R23"/>
    <mergeCell ref="E25:M25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K7:L7"/>
    <mergeCell ref="M7:N7"/>
    <mergeCell ref="O7:P7"/>
    <mergeCell ref="Q7:R7"/>
    <mergeCell ref="A1:B7"/>
    <mergeCell ref="C3:D4"/>
    <mergeCell ref="E3:F4"/>
    <mergeCell ref="I3:L4"/>
    <mergeCell ref="M3:N4"/>
    <mergeCell ref="G6:H6"/>
    <mergeCell ref="M6:N6"/>
    <mergeCell ref="G9:H9"/>
    <mergeCell ref="I9:J9"/>
    <mergeCell ref="K9:L9"/>
    <mergeCell ref="M9:N9"/>
    <mergeCell ref="O9:P9"/>
    <mergeCell ref="Q9:R9"/>
    <mergeCell ref="E6:F6"/>
    <mergeCell ref="C7:D7"/>
    <mergeCell ref="E7:F7"/>
    <mergeCell ref="C8:D8"/>
    <mergeCell ref="E8:F8"/>
    <mergeCell ref="C9:D9"/>
    <mergeCell ref="E9:F9"/>
    <mergeCell ref="B16:B23"/>
    <mergeCell ref="C25:D25"/>
    <mergeCell ref="B27:B33"/>
    <mergeCell ref="C35:D35"/>
    <mergeCell ref="E35:M35"/>
    <mergeCell ref="N35:P35"/>
    <mergeCell ref="Q35:S35"/>
    <mergeCell ref="B70:B77"/>
    <mergeCell ref="C79:D79"/>
    <mergeCell ref="E79:M79"/>
    <mergeCell ref="N79:P79"/>
    <mergeCell ref="Q79:S79"/>
    <mergeCell ref="E80:G80"/>
    <mergeCell ref="H80:J80"/>
    <mergeCell ref="Q80:S80"/>
    <mergeCell ref="K80:M80"/>
    <mergeCell ref="N80:P80"/>
    <mergeCell ref="B81:B87"/>
    <mergeCell ref="M81:N81"/>
    <mergeCell ref="M82:N82"/>
    <mergeCell ref="M83:N83"/>
    <mergeCell ref="M86:N86"/>
    <mergeCell ref="E36:G36"/>
    <mergeCell ref="H36:J36"/>
    <mergeCell ref="K36:M36"/>
    <mergeCell ref="N36:P36"/>
    <mergeCell ref="Q36:S36"/>
    <mergeCell ref="B37:B44"/>
    <mergeCell ref="C46:D46"/>
    <mergeCell ref="Q46:S46"/>
    <mergeCell ref="E46:M46"/>
    <mergeCell ref="N46:P46"/>
    <mergeCell ref="E47:G47"/>
    <mergeCell ref="H47:J47"/>
    <mergeCell ref="K47:M47"/>
    <mergeCell ref="N47:P47"/>
    <mergeCell ref="Q47:S47"/>
    <mergeCell ref="B48:B55"/>
    <mergeCell ref="C57:D57"/>
    <mergeCell ref="E57:M57"/>
    <mergeCell ref="N57:P57"/>
    <mergeCell ref="Q57:S57"/>
    <mergeCell ref="E58:G58"/>
    <mergeCell ref="H58:J58"/>
    <mergeCell ref="Q58:S58"/>
    <mergeCell ref="K58:M58"/>
    <mergeCell ref="N58:P58"/>
    <mergeCell ref="B59:B66"/>
    <mergeCell ref="M59:N59"/>
    <mergeCell ref="M61:N61"/>
    <mergeCell ref="M65:N65"/>
    <mergeCell ref="M66:N66"/>
    <mergeCell ref="N69:P69"/>
    <mergeCell ref="Q69:S69"/>
    <mergeCell ref="C68:D68"/>
    <mergeCell ref="E68:M68"/>
    <mergeCell ref="N68:P68"/>
    <mergeCell ref="Q68:S68"/>
    <mergeCell ref="E69:G69"/>
    <mergeCell ref="H69:J69"/>
    <mergeCell ref="K69:M69"/>
    <mergeCell ref="N90:P90"/>
    <mergeCell ref="Q90:S90"/>
    <mergeCell ref="N123:P123"/>
    <mergeCell ref="Q123:S123"/>
    <mergeCell ref="P119:R119"/>
    <mergeCell ref="P120:R120"/>
    <mergeCell ref="C122:D122"/>
    <mergeCell ref="E122:M122"/>
    <mergeCell ref="N122:P122"/>
    <mergeCell ref="Q122:S122"/>
    <mergeCell ref="E123:G123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5 Q46 Q57 Q68 Q79 Q89 Q101 Q112 Q122 Q133 Q144 Q153:S153 Q154 Q164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264"/>
      <c r="B14" s="265"/>
      <c r="C14" s="294" t="s">
        <v>209</v>
      </c>
      <c r="D14" s="295"/>
      <c r="E14" s="296" t="s">
        <v>233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264"/>
      <c r="B15" s="265"/>
      <c r="C15" s="301" t="s">
        <v>214</v>
      </c>
      <c r="D15" s="405">
        <v>45962.0</v>
      </c>
      <c r="E15" s="303" t="s">
        <v>215</v>
      </c>
      <c r="F15" s="22"/>
      <c r="G15" s="28"/>
      <c r="H15" s="304" t="s">
        <v>216</v>
      </c>
      <c r="I15" s="297"/>
      <c r="J15" s="282"/>
      <c r="K15" s="304"/>
      <c r="L15" s="297"/>
      <c r="M15" s="282"/>
      <c r="N15" s="304"/>
      <c r="O15" s="297"/>
      <c r="P15" s="282"/>
      <c r="Q15" s="304" t="s">
        <v>219</v>
      </c>
      <c r="R15" s="297"/>
      <c r="S15" s="282"/>
      <c r="T15" s="265"/>
      <c r="U15" s="265"/>
      <c r="V15" s="265"/>
    </row>
    <row r="16">
      <c r="A16" s="264"/>
      <c r="B16" s="443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268</v>
      </c>
      <c r="L16" s="301" t="s">
        <v>269</v>
      </c>
      <c r="M16" s="468" t="s">
        <v>270</v>
      </c>
      <c r="N16" s="282"/>
      <c r="O16" s="301" t="s">
        <v>271</v>
      </c>
      <c r="P16" s="301"/>
      <c r="Q16" s="301"/>
      <c r="R16" s="301"/>
      <c r="S16" s="301"/>
      <c r="T16" s="307" t="s">
        <v>225</v>
      </c>
      <c r="U16" s="421" t="s">
        <v>263</v>
      </c>
      <c r="V16" s="265"/>
    </row>
    <row r="17">
      <c r="A17" s="264"/>
      <c r="B17" s="308"/>
      <c r="C17" s="309">
        <v>1.0</v>
      </c>
      <c r="D17" s="373" t="s">
        <v>104</v>
      </c>
      <c r="E17" s="374">
        <v>12.0</v>
      </c>
      <c r="F17" s="312">
        <v>10.0</v>
      </c>
      <c r="G17" s="374"/>
      <c r="H17" s="376">
        <v>13.0</v>
      </c>
      <c r="I17" s="312">
        <v>10.0</v>
      </c>
      <c r="J17" s="316"/>
      <c r="K17" s="316">
        <v>2.0</v>
      </c>
      <c r="L17" s="209">
        <v>45634.0</v>
      </c>
      <c r="M17" s="100" t="s">
        <v>124</v>
      </c>
      <c r="O17" s="316"/>
      <c r="P17" s="316"/>
      <c r="Q17" s="311"/>
      <c r="R17" s="312"/>
      <c r="S17" s="258"/>
      <c r="T17" s="319">
        <f t="shared" ref="T17:T23" si="1">(E17*F17)+(H17*I17)</f>
        <v>250</v>
      </c>
      <c r="U17" s="422"/>
      <c r="V17" s="265"/>
    </row>
    <row r="18">
      <c r="A18" s="264"/>
      <c r="B18" s="308"/>
      <c r="C18" s="330">
        <v>2.0</v>
      </c>
      <c r="D18" s="377" t="s">
        <v>145</v>
      </c>
      <c r="E18" s="378">
        <v>10.0</v>
      </c>
      <c r="F18" s="333">
        <v>70.0</v>
      </c>
      <c r="G18" s="378"/>
      <c r="H18" s="381">
        <v>10.0</v>
      </c>
      <c r="I18" s="333">
        <v>70.0</v>
      </c>
      <c r="J18" s="338"/>
      <c r="K18" s="338">
        <v>2.0</v>
      </c>
      <c r="L18" s="469">
        <v>45938.0</v>
      </c>
      <c r="M18" s="462"/>
      <c r="N18" s="459"/>
      <c r="O18" s="338"/>
      <c r="P18" s="338"/>
      <c r="Q18" s="332"/>
      <c r="R18" s="333"/>
      <c r="S18" s="431"/>
      <c r="T18" s="319">
        <f t="shared" si="1"/>
        <v>1400</v>
      </c>
      <c r="U18" s="422"/>
      <c r="V18" s="265"/>
    </row>
    <row r="19">
      <c r="A19" s="264"/>
      <c r="B19" s="308"/>
      <c r="C19" s="309">
        <v>3.0</v>
      </c>
      <c r="D19" s="382" t="s">
        <v>146</v>
      </c>
      <c r="E19" s="374">
        <v>8.0</v>
      </c>
      <c r="F19" s="342">
        <v>28.0</v>
      </c>
      <c r="G19" s="374"/>
      <c r="H19" s="385">
        <v>8.0</v>
      </c>
      <c r="I19" s="342">
        <v>28.0</v>
      </c>
      <c r="J19" s="346"/>
      <c r="K19" s="346">
        <v>2.0</v>
      </c>
      <c r="L19" s="209">
        <v>45509.0</v>
      </c>
      <c r="M19" s="218"/>
      <c r="N19" s="209"/>
      <c r="O19" s="346"/>
      <c r="P19" s="346"/>
      <c r="Q19" s="311"/>
      <c r="R19" s="342"/>
      <c r="S19" s="211"/>
      <c r="T19" s="319">
        <f t="shared" si="1"/>
        <v>448</v>
      </c>
      <c r="U19" s="422"/>
      <c r="V19" s="265"/>
    </row>
    <row r="20">
      <c r="A20" s="264"/>
      <c r="B20" s="308"/>
      <c r="C20" s="330">
        <v>4.0</v>
      </c>
      <c r="D20" s="377" t="s">
        <v>76</v>
      </c>
      <c r="E20" s="378">
        <v>8.0</v>
      </c>
      <c r="F20" s="333">
        <v>10.0</v>
      </c>
      <c r="G20" s="378"/>
      <c r="H20" s="381">
        <v>16.0</v>
      </c>
      <c r="I20" s="333">
        <v>7.5</v>
      </c>
      <c r="J20" s="338"/>
      <c r="K20" s="338" t="s">
        <v>78</v>
      </c>
      <c r="L20" s="336" t="s">
        <v>108</v>
      </c>
      <c r="M20" s="455" t="s">
        <v>97</v>
      </c>
      <c r="O20" s="338">
        <v>3101.0</v>
      </c>
      <c r="P20" s="338"/>
      <c r="Q20" s="332"/>
      <c r="R20" s="333"/>
      <c r="S20" s="431"/>
      <c r="T20" s="319">
        <f t="shared" si="1"/>
        <v>200</v>
      </c>
      <c r="U20" s="422"/>
      <c r="V20" s="265"/>
    </row>
    <row r="21">
      <c r="A21" s="264"/>
      <c r="B21" s="308"/>
      <c r="C21" s="309">
        <v>5.0</v>
      </c>
      <c r="D21" s="382" t="s">
        <v>147</v>
      </c>
      <c r="E21" s="374">
        <v>14.0</v>
      </c>
      <c r="F21" s="342">
        <v>5.0</v>
      </c>
      <c r="G21" s="374"/>
      <c r="H21" s="385">
        <v>16.0</v>
      </c>
      <c r="I21" s="342">
        <v>5.0</v>
      </c>
      <c r="J21" s="346"/>
      <c r="K21" s="346" t="s">
        <v>78</v>
      </c>
      <c r="L21" s="222" t="s">
        <v>134</v>
      </c>
      <c r="M21" s="100" t="s">
        <v>73</v>
      </c>
      <c r="O21" s="346">
        <v>3101.0</v>
      </c>
      <c r="P21" s="346"/>
      <c r="Q21" s="100"/>
      <c r="R21" s="25"/>
      <c r="S21" s="258"/>
      <c r="T21" s="319">
        <f t="shared" si="1"/>
        <v>150</v>
      </c>
      <c r="U21" s="422"/>
      <c r="V21" s="265"/>
    </row>
    <row r="22">
      <c r="A22" s="264"/>
      <c r="B22" s="308"/>
      <c r="C22" s="330">
        <v>6.0</v>
      </c>
      <c r="D22" s="331" t="s">
        <v>149</v>
      </c>
      <c r="E22" s="378">
        <v>12.0</v>
      </c>
      <c r="F22" s="333">
        <v>20.0</v>
      </c>
      <c r="G22" s="378"/>
      <c r="H22" s="381">
        <v>12.0</v>
      </c>
      <c r="I22" s="333">
        <v>20.0</v>
      </c>
      <c r="J22" s="338"/>
      <c r="K22" s="338">
        <v>2.0</v>
      </c>
      <c r="L22" s="469">
        <v>45999.0</v>
      </c>
      <c r="M22" s="462"/>
      <c r="N22" s="459"/>
      <c r="O22" s="338">
        <v>3101.0</v>
      </c>
      <c r="P22" s="338"/>
      <c r="Q22" s="455"/>
      <c r="R22" s="25"/>
      <c r="S22" s="431"/>
      <c r="T22" s="319">
        <f t="shared" si="1"/>
        <v>480</v>
      </c>
      <c r="U22" s="422"/>
      <c r="V22" s="265"/>
    </row>
    <row r="23" ht="31.5" customHeight="1">
      <c r="A23" s="264"/>
      <c r="B23" s="361"/>
      <c r="C23" s="309">
        <v>7.0</v>
      </c>
      <c r="D23" s="382" t="s">
        <v>151</v>
      </c>
      <c r="E23" s="343">
        <v>12.0</v>
      </c>
      <c r="F23" s="342">
        <v>5.0</v>
      </c>
      <c r="G23" s="311"/>
      <c r="H23" s="343">
        <v>16.0</v>
      </c>
      <c r="I23" s="342">
        <v>4.5</v>
      </c>
      <c r="J23" s="318"/>
      <c r="K23" s="342" t="s">
        <v>78</v>
      </c>
      <c r="L23" s="342" t="s">
        <v>134</v>
      </c>
      <c r="M23" s="343" t="s">
        <v>73</v>
      </c>
      <c r="N23" s="25"/>
      <c r="O23" s="342">
        <v>3200.0</v>
      </c>
      <c r="P23" s="342"/>
      <c r="Q23" s="100"/>
      <c r="R23" s="25"/>
      <c r="S23" s="223"/>
      <c r="T23" s="319">
        <f t="shared" si="1"/>
        <v>132</v>
      </c>
      <c r="U23" s="422"/>
      <c r="V23" s="265"/>
    </row>
    <row r="24" ht="34.5" customHeight="1">
      <c r="A24" s="264"/>
      <c r="B24" s="368"/>
      <c r="C24" s="265"/>
      <c r="D24" s="265"/>
      <c r="E24" s="265"/>
      <c r="F24" s="265"/>
      <c r="G24" s="265"/>
      <c r="H24" s="265"/>
      <c r="I24" s="292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264"/>
      <c r="B25" s="265"/>
      <c r="C25" s="294" t="s">
        <v>209</v>
      </c>
      <c r="D25" s="295"/>
      <c r="E25" s="296" t="s">
        <v>244</v>
      </c>
      <c r="F25" s="297"/>
      <c r="G25" s="297"/>
      <c r="H25" s="297"/>
      <c r="I25" s="297"/>
      <c r="J25" s="297"/>
      <c r="K25" s="297"/>
      <c r="L25" s="297"/>
      <c r="M25" s="282"/>
      <c r="N25" s="298" t="s">
        <v>211</v>
      </c>
      <c r="O25" s="268"/>
      <c r="P25" s="57"/>
      <c r="Q25" s="286"/>
      <c r="R25" s="268"/>
      <c r="S25" s="57"/>
      <c r="T25" s="292"/>
      <c r="U25" s="265"/>
      <c r="V25" s="265"/>
    </row>
    <row r="26">
      <c r="A26" s="264"/>
      <c r="B26" s="265"/>
      <c r="C26" s="301" t="s">
        <v>214</v>
      </c>
      <c r="D26" s="372">
        <v>45964.0</v>
      </c>
      <c r="E26" s="303" t="s">
        <v>215</v>
      </c>
      <c r="F26" s="22"/>
      <c r="G26" s="28"/>
      <c r="H26" s="304" t="s">
        <v>216</v>
      </c>
      <c r="I26" s="297"/>
      <c r="J26" s="282"/>
      <c r="K26" s="304" t="s">
        <v>217</v>
      </c>
      <c r="L26" s="297"/>
      <c r="M26" s="282"/>
      <c r="N26" s="304"/>
      <c r="O26" s="297"/>
      <c r="P26" s="282"/>
      <c r="Q26" s="304"/>
      <c r="R26" s="297"/>
      <c r="S26" s="282"/>
      <c r="T26" s="265"/>
      <c r="U26" s="265"/>
      <c r="V26" s="265"/>
    </row>
    <row r="27">
      <c r="A27" s="264"/>
      <c r="B27" s="456" t="s">
        <v>234</v>
      </c>
      <c r="C27" s="306" t="s">
        <v>221</v>
      </c>
      <c r="D27" s="306" t="s">
        <v>222</v>
      </c>
      <c r="E27" s="301" t="s">
        <v>223</v>
      </c>
      <c r="F27" s="301" t="s">
        <v>224</v>
      </c>
      <c r="G27" s="301" t="s">
        <v>66</v>
      </c>
      <c r="H27" s="301" t="s">
        <v>223</v>
      </c>
      <c r="I27" s="301" t="s">
        <v>224</v>
      </c>
      <c r="J27" s="301" t="s">
        <v>66</v>
      </c>
      <c r="K27" s="301" t="s">
        <v>223</v>
      </c>
      <c r="L27" s="301" t="s">
        <v>224</v>
      </c>
      <c r="M27" s="301" t="s">
        <v>66</v>
      </c>
      <c r="N27" s="301" t="s">
        <v>268</v>
      </c>
      <c r="O27" s="301" t="s">
        <v>269</v>
      </c>
      <c r="P27" s="471" t="s">
        <v>270</v>
      </c>
      <c r="Q27" s="297"/>
      <c r="R27" s="282"/>
      <c r="S27" s="301" t="s">
        <v>271</v>
      </c>
      <c r="T27" s="307" t="s">
        <v>225</v>
      </c>
      <c r="U27" s="421" t="s">
        <v>263</v>
      </c>
      <c r="V27" s="265"/>
    </row>
    <row r="28">
      <c r="A28" s="264"/>
      <c r="B28" s="308"/>
      <c r="C28" s="309">
        <v>1.0</v>
      </c>
      <c r="D28" s="373" t="s">
        <v>167</v>
      </c>
      <c r="E28" s="374">
        <v>12.0</v>
      </c>
      <c r="F28" s="375">
        <v>55.0</v>
      </c>
      <c r="G28" s="384"/>
      <c r="H28" s="376">
        <v>12.0</v>
      </c>
      <c r="I28" s="375">
        <v>55.0</v>
      </c>
      <c r="J28" s="317"/>
      <c r="K28" s="311"/>
      <c r="L28" s="312"/>
      <c r="M28" s="317"/>
      <c r="N28" s="317">
        <v>2.0</v>
      </c>
      <c r="O28" s="209">
        <v>45634.0</v>
      </c>
      <c r="P28" s="100" t="s">
        <v>124</v>
      </c>
      <c r="R28" s="25"/>
      <c r="S28" s="472">
        <v>3101.0</v>
      </c>
      <c r="T28" s="426">
        <f t="shared" ref="T28:T33" si="2">(E28*F28)+(H28*I28)</f>
        <v>1320</v>
      </c>
      <c r="U28" s="422"/>
      <c r="V28" s="265"/>
    </row>
    <row r="29">
      <c r="A29" s="264"/>
      <c r="B29" s="308"/>
      <c r="C29" s="330">
        <v>2.0</v>
      </c>
      <c r="D29" s="377" t="s">
        <v>189</v>
      </c>
      <c r="E29" s="378">
        <v>12.0</v>
      </c>
      <c r="F29" s="379">
        <v>30.0</v>
      </c>
      <c r="G29" s="380"/>
      <c r="H29" s="381">
        <v>12.0</v>
      </c>
      <c r="I29" s="379">
        <v>30.0</v>
      </c>
      <c r="J29" s="339"/>
      <c r="K29" s="381">
        <v>14.0</v>
      </c>
      <c r="L29" s="379">
        <v>30.0</v>
      </c>
      <c r="M29" s="339"/>
      <c r="N29" s="339" t="s">
        <v>72</v>
      </c>
      <c r="O29" s="440">
        <v>46001.0</v>
      </c>
      <c r="P29" s="336" t="s">
        <v>97</v>
      </c>
      <c r="R29" s="25"/>
      <c r="S29" s="339">
        <v>3101.0</v>
      </c>
      <c r="T29" s="426">
        <f t="shared" si="2"/>
        <v>720</v>
      </c>
      <c r="U29" s="422"/>
      <c r="V29" s="265"/>
    </row>
    <row r="30">
      <c r="A30" s="264"/>
      <c r="B30" s="308"/>
      <c r="C30" s="309">
        <v>3.0</v>
      </c>
      <c r="D30" s="382" t="s">
        <v>190</v>
      </c>
      <c r="E30" s="374">
        <v>12.0</v>
      </c>
      <c r="F30" s="383">
        <v>45.0</v>
      </c>
      <c r="G30" s="384"/>
      <c r="H30" s="385">
        <v>16.0</v>
      </c>
      <c r="I30" s="383">
        <v>45.0</v>
      </c>
      <c r="J30" s="344"/>
      <c r="K30" s="311"/>
      <c r="L30" s="342"/>
      <c r="M30" s="344"/>
      <c r="N30" s="344" t="s">
        <v>78</v>
      </c>
      <c r="O30" s="437" t="s">
        <v>134</v>
      </c>
      <c r="P30" s="100" t="s">
        <v>97</v>
      </c>
      <c r="R30" s="25"/>
      <c r="S30" s="473">
        <v>3001.0</v>
      </c>
      <c r="T30" s="426">
        <f t="shared" si="2"/>
        <v>1260</v>
      </c>
      <c r="U30" s="422"/>
      <c r="V30" s="265"/>
    </row>
    <row r="31">
      <c r="A31" s="264"/>
      <c r="B31" s="308"/>
      <c r="C31" s="330">
        <v>4.0</v>
      </c>
      <c r="D31" s="377" t="s">
        <v>191</v>
      </c>
      <c r="E31" s="378">
        <v>10.0</v>
      </c>
      <c r="F31" s="379">
        <v>120.0</v>
      </c>
      <c r="G31" s="380"/>
      <c r="H31" s="439">
        <v>9.0</v>
      </c>
      <c r="I31" s="379">
        <v>120.0</v>
      </c>
      <c r="J31" s="339"/>
      <c r="K31" s="332"/>
      <c r="L31" s="333"/>
      <c r="M31" s="339"/>
      <c r="N31" s="339">
        <v>2.0</v>
      </c>
      <c r="O31" s="440">
        <v>45938.0</v>
      </c>
      <c r="P31" s="332"/>
      <c r="Q31" s="332"/>
      <c r="R31" s="335"/>
      <c r="S31" s="339">
        <v>3001.0</v>
      </c>
      <c r="T31" s="426">
        <f t="shared" si="2"/>
        <v>2280</v>
      </c>
      <c r="U31" s="422"/>
      <c r="V31" s="265"/>
    </row>
    <row r="32">
      <c r="A32" s="264"/>
      <c r="B32" s="308"/>
      <c r="C32" s="309">
        <v>5.0</v>
      </c>
      <c r="D32" s="382" t="s">
        <v>192</v>
      </c>
      <c r="E32" s="374">
        <v>6.0</v>
      </c>
      <c r="F32" s="383">
        <v>80.0</v>
      </c>
      <c r="G32" s="384"/>
      <c r="H32" s="385">
        <v>8.0</v>
      </c>
      <c r="I32" s="383">
        <v>70.0</v>
      </c>
      <c r="J32" s="344"/>
      <c r="K32" s="311"/>
      <c r="L32" s="342"/>
      <c r="M32" s="344"/>
      <c r="N32" s="344">
        <v>2.0</v>
      </c>
      <c r="O32" s="432">
        <v>45510.0</v>
      </c>
      <c r="P32" s="218"/>
      <c r="R32" s="25"/>
      <c r="S32" s="473"/>
      <c r="T32" s="426">
        <f t="shared" si="2"/>
        <v>1040</v>
      </c>
      <c r="U32" s="422"/>
      <c r="V32" s="265"/>
    </row>
    <row r="33">
      <c r="A33" s="264"/>
      <c r="B33" s="361"/>
      <c r="C33" s="330">
        <v>6.0</v>
      </c>
      <c r="D33" s="331" t="s">
        <v>267</v>
      </c>
      <c r="E33" s="378">
        <v>12.0</v>
      </c>
      <c r="F33" s="379">
        <v>40.0</v>
      </c>
      <c r="G33" s="380"/>
      <c r="H33" s="381">
        <v>8.0</v>
      </c>
      <c r="I33" s="379">
        <v>40.0</v>
      </c>
      <c r="J33" s="339"/>
      <c r="K33" s="332"/>
      <c r="L33" s="338"/>
      <c r="M33" s="339"/>
      <c r="N33" s="339" t="s">
        <v>113</v>
      </c>
      <c r="O33" s="474">
        <v>45999.0</v>
      </c>
      <c r="P33" s="337" t="s">
        <v>97</v>
      </c>
      <c r="R33" s="25"/>
      <c r="S33" s="338">
        <v>3202.0</v>
      </c>
      <c r="T33" s="426">
        <f t="shared" si="2"/>
        <v>800</v>
      </c>
      <c r="U33" s="422"/>
      <c r="V33" s="265"/>
    </row>
    <row r="34" ht="42.75" customHeight="1">
      <c r="A34" s="264"/>
      <c r="B34" s="368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</row>
    <row r="35">
      <c r="A35" s="264"/>
      <c r="B35" s="265"/>
      <c r="C35" s="294" t="s">
        <v>209</v>
      </c>
      <c r="D35" s="295"/>
      <c r="E35" s="296" t="s">
        <v>257</v>
      </c>
      <c r="F35" s="297"/>
      <c r="G35" s="297"/>
      <c r="H35" s="297"/>
      <c r="I35" s="297"/>
      <c r="J35" s="297"/>
      <c r="K35" s="297"/>
      <c r="L35" s="297"/>
      <c r="M35" s="282"/>
      <c r="N35" s="298" t="s">
        <v>211</v>
      </c>
      <c r="O35" s="268"/>
      <c r="P35" s="57"/>
      <c r="Q35" s="286"/>
      <c r="R35" s="268"/>
      <c r="S35" s="57"/>
      <c r="T35" s="292"/>
      <c r="U35" s="265"/>
      <c r="V35" s="265"/>
    </row>
    <row r="36">
      <c r="A36" s="264"/>
      <c r="B36" s="265"/>
      <c r="C36" s="301" t="s">
        <v>214</v>
      </c>
      <c r="D36" s="405">
        <v>45966.0</v>
      </c>
      <c r="E36" s="303" t="s">
        <v>215</v>
      </c>
      <c r="F36" s="22"/>
      <c r="G36" s="28"/>
      <c r="H36" s="304" t="s">
        <v>216</v>
      </c>
      <c r="I36" s="297"/>
      <c r="J36" s="282"/>
      <c r="K36" s="304" t="s">
        <v>217</v>
      </c>
      <c r="L36" s="297"/>
      <c r="M36" s="282"/>
      <c r="N36" s="304" t="s">
        <v>218</v>
      </c>
      <c r="O36" s="297"/>
      <c r="P36" s="282"/>
      <c r="Q36" s="304" t="s">
        <v>219</v>
      </c>
      <c r="R36" s="297"/>
      <c r="S36" s="282"/>
      <c r="T36" s="265"/>
      <c r="U36" s="265"/>
      <c r="V36" s="265"/>
    </row>
    <row r="37">
      <c r="A37" s="264"/>
      <c r="B37" s="457" t="s">
        <v>242</v>
      </c>
      <c r="C37" s="306" t="s">
        <v>221</v>
      </c>
      <c r="D37" s="306" t="s">
        <v>222</v>
      </c>
      <c r="E37" s="301" t="s">
        <v>223</v>
      </c>
      <c r="F37" s="301" t="s">
        <v>224</v>
      </c>
      <c r="G37" s="301" t="s">
        <v>66</v>
      </c>
      <c r="H37" s="301" t="s">
        <v>223</v>
      </c>
      <c r="I37" s="301" t="s">
        <v>224</v>
      </c>
      <c r="J37" s="301" t="s">
        <v>66</v>
      </c>
      <c r="K37" s="301" t="s">
        <v>223</v>
      </c>
      <c r="L37" s="301" t="s">
        <v>224</v>
      </c>
      <c r="M37" s="301" t="s">
        <v>66</v>
      </c>
      <c r="N37" s="301" t="s">
        <v>223</v>
      </c>
      <c r="O37" s="301" t="s">
        <v>224</v>
      </c>
      <c r="P37" s="301" t="s">
        <v>66</v>
      </c>
      <c r="Q37" s="301" t="s">
        <v>223</v>
      </c>
      <c r="R37" s="301" t="s">
        <v>224</v>
      </c>
      <c r="S37" s="301" t="s">
        <v>66</v>
      </c>
      <c r="T37" s="307" t="s">
        <v>225</v>
      </c>
      <c r="U37" s="421" t="s">
        <v>263</v>
      </c>
      <c r="V37" s="265"/>
    </row>
    <row r="38" ht="33.75" customHeight="1">
      <c r="A38" s="264"/>
      <c r="B38" s="308"/>
      <c r="C38" s="309">
        <v>1.0</v>
      </c>
      <c r="D38" s="373" t="s">
        <v>127</v>
      </c>
      <c r="E38" s="256">
        <v>16.0</v>
      </c>
      <c r="F38" s="312">
        <v>10.0</v>
      </c>
      <c r="G38" s="318"/>
      <c r="H38" s="313">
        <v>14.0</v>
      </c>
      <c r="I38" s="312">
        <v>7.0</v>
      </c>
      <c r="J38" s="317"/>
      <c r="K38" s="311"/>
      <c r="L38" s="312"/>
      <c r="M38" s="318"/>
      <c r="N38" s="315"/>
      <c r="O38" s="316"/>
      <c r="P38" s="317"/>
      <c r="Q38" s="318"/>
      <c r="R38" s="316"/>
      <c r="S38" s="318"/>
      <c r="T38" s="319">
        <f t="shared" ref="T38:T44" si="3">(E38*F38)+(H38*I38)+(K38*L38)+(N38*O38)+(Q38*R38)</f>
        <v>258</v>
      </c>
      <c r="U38" s="422"/>
      <c r="V38" s="265"/>
    </row>
    <row r="39" ht="33.75" customHeight="1">
      <c r="A39" s="264"/>
      <c r="B39" s="308"/>
      <c r="C39" s="330">
        <v>2.0</v>
      </c>
      <c r="D39" s="377" t="s">
        <v>178</v>
      </c>
      <c r="E39" s="423">
        <v>8.0</v>
      </c>
      <c r="F39" s="333">
        <v>40.0</v>
      </c>
      <c r="G39" s="336"/>
      <c r="H39" s="334">
        <v>7.0</v>
      </c>
      <c r="I39" s="333">
        <v>45.0</v>
      </c>
      <c r="J39" s="339"/>
      <c r="K39" s="332"/>
      <c r="L39" s="333"/>
      <c r="M39" s="336"/>
      <c r="N39" s="337"/>
      <c r="O39" s="338"/>
      <c r="P39" s="339"/>
      <c r="Q39" s="336"/>
      <c r="R39" s="338"/>
      <c r="S39" s="336"/>
      <c r="T39" s="319">
        <f t="shared" si="3"/>
        <v>635</v>
      </c>
      <c r="U39" s="422"/>
      <c r="V39" s="265"/>
    </row>
    <row r="40" ht="33.75" customHeight="1">
      <c r="A40" s="264"/>
      <c r="B40" s="308"/>
      <c r="C40" s="309">
        <v>3.0</v>
      </c>
      <c r="D40" s="382" t="s">
        <v>179</v>
      </c>
      <c r="E40" s="259">
        <v>8.0</v>
      </c>
      <c r="F40" s="383">
        <v>60.0</v>
      </c>
      <c r="G40" s="318"/>
      <c r="H40" s="343">
        <v>7.0</v>
      </c>
      <c r="I40" s="342">
        <v>60.0</v>
      </c>
      <c r="J40" s="344"/>
      <c r="K40" s="311"/>
      <c r="L40" s="342"/>
      <c r="M40" s="318"/>
      <c r="N40" s="345"/>
      <c r="O40" s="346"/>
      <c r="P40" s="344"/>
      <c r="Q40" s="318"/>
      <c r="R40" s="346"/>
      <c r="S40" s="318"/>
      <c r="T40" s="319">
        <f t="shared" si="3"/>
        <v>900</v>
      </c>
      <c r="U40" s="422"/>
      <c r="V40" s="265"/>
    </row>
    <row r="41" ht="33.75" customHeight="1">
      <c r="A41" s="264"/>
      <c r="B41" s="308"/>
      <c r="C41" s="330">
        <v>4.0</v>
      </c>
      <c r="D41" s="377" t="s">
        <v>180</v>
      </c>
      <c r="E41" s="423">
        <v>10.0</v>
      </c>
      <c r="F41" s="379">
        <v>30.0</v>
      </c>
      <c r="G41" s="336"/>
      <c r="H41" s="334">
        <v>10.0</v>
      </c>
      <c r="I41" s="333">
        <v>30.0</v>
      </c>
      <c r="J41" s="339"/>
      <c r="K41" s="332"/>
      <c r="L41" s="333"/>
      <c r="M41" s="336"/>
      <c r="N41" s="337"/>
      <c r="O41" s="338"/>
      <c r="P41" s="339"/>
      <c r="Q41" s="336"/>
      <c r="R41" s="338"/>
      <c r="S41" s="336"/>
      <c r="T41" s="319">
        <f t="shared" si="3"/>
        <v>600</v>
      </c>
      <c r="U41" s="422"/>
      <c r="V41" s="265"/>
    </row>
    <row r="42" ht="33.75" customHeight="1">
      <c r="A42" s="264"/>
      <c r="B42" s="308"/>
      <c r="C42" s="309">
        <v>5.0</v>
      </c>
      <c r="D42" s="382" t="s">
        <v>141</v>
      </c>
      <c r="E42" s="259">
        <v>12.0</v>
      </c>
      <c r="F42" s="383">
        <v>15.0</v>
      </c>
      <c r="G42" s="318"/>
      <c r="H42" s="343">
        <v>9.0</v>
      </c>
      <c r="I42" s="342">
        <v>15.0</v>
      </c>
      <c r="J42" s="344"/>
      <c r="K42" s="311"/>
      <c r="L42" s="342"/>
      <c r="M42" s="318"/>
      <c r="N42" s="345"/>
      <c r="O42" s="346"/>
      <c r="P42" s="344"/>
      <c r="Q42" s="318"/>
      <c r="R42" s="346"/>
      <c r="S42" s="318"/>
      <c r="T42" s="319">
        <f t="shared" si="3"/>
        <v>315</v>
      </c>
      <c r="U42" s="422"/>
      <c r="V42" s="265"/>
    </row>
    <row r="43" ht="33.75" customHeight="1">
      <c r="A43" s="264"/>
      <c r="B43" s="308"/>
      <c r="C43" s="330">
        <v>6.0</v>
      </c>
      <c r="D43" s="331" t="s">
        <v>139</v>
      </c>
      <c r="E43" s="423">
        <v>12.0</v>
      </c>
      <c r="F43" s="379">
        <v>30.0</v>
      </c>
      <c r="G43" s="336"/>
      <c r="H43" s="334">
        <v>14.0</v>
      </c>
      <c r="I43" s="333">
        <v>30.0</v>
      </c>
      <c r="J43" s="339"/>
      <c r="K43" s="332"/>
      <c r="L43" s="338"/>
      <c r="M43" s="336"/>
      <c r="N43" s="337"/>
      <c r="O43" s="338"/>
      <c r="P43" s="339"/>
      <c r="Q43" s="336"/>
      <c r="R43" s="338"/>
      <c r="S43" s="336"/>
      <c r="T43" s="319">
        <f t="shared" si="3"/>
        <v>780</v>
      </c>
      <c r="U43" s="422"/>
      <c r="V43" s="265"/>
    </row>
    <row r="44" ht="33.75" customHeight="1">
      <c r="A44" s="264"/>
      <c r="B44" s="361"/>
      <c r="C44" s="309">
        <v>7.0</v>
      </c>
      <c r="D44" s="382" t="s">
        <v>88</v>
      </c>
      <c r="E44" s="259">
        <v>12.0</v>
      </c>
      <c r="F44" s="383">
        <v>8.0</v>
      </c>
      <c r="G44" s="318"/>
      <c r="H44" s="343">
        <v>11.0</v>
      </c>
      <c r="I44" s="342">
        <v>8.0</v>
      </c>
      <c r="J44" s="344"/>
      <c r="K44" s="311"/>
      <c r="L44" s="342"/>
      <c r="M44" s="318"/>
      <c r="N44" s="345"/>
      <c r="O44" s="346"/>
      <c r="P44" s="344"/>
      <c r="Q44" s="318"/>
      <c r="R44" s="346"/>
      <c r="S44" s="318"/>
      <c r="T44" s="319">
        <f t="shared" si="3"/>
        <v>184</v>
      </c>
      <c r="U44" s="422"/>
      <c r="V44" s="265"/>
    </row>
    <row r="45" ht="33.0" customHeight="1">
      <c r="A45" s="264"/>
      <c r="B45" s="368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92"/>
      <c r="R45" s="265"/>
      <c r="S45" s="265"/>
      <c r="T45" s="265"/>
      <c r="U45" s="265"/>
      <c r="V45" s="265"/>
    </row>
    <row r="46">
      <c r="A46" s="264"/>
      <c r="B46" s="265"/>
      <c r="C46" s="294" t="s">
        <v>209</v>
      </c>
      <c r="D46" s="295"/>
      <c r="E46" s="296" t="s">
        <v>248</v>
      </c>
      <c r="F46" s="297"/>
      <c r="G46" s="297"/>
      <c r="H46" s="297"/>
      <c r="I46" s="297"/>
      <c r="J46" s="297"/>
      <c r="K46" s="297"/>
      <c r="L46" s="297"/>
      <c r="M46" s="282"/>
      <c r="N46" s="298" t="s">
        <v>211</v>
      </c>
      <c r="O46" s="268"/>
      <c r="P46" s="57"/>
      <c r="Q46" s="286"/>
      <c r="R46" s="268"/>
      <c r="S46" s="57"/>
      <c r="T46" s="292"/>
      <c r="U46" s="265"/>
      <c r="V46" s="265"/>
    </row>
    <row r="47">
      <c r="A47" s="264"/>
      <c r="B47" s="265"/>
      <c r="C47" s="301" t="s">
        <v>214</v>
      </c>
      <c r="D47" s="405">
        <v>45968.0</v>
      </c>
      <c r="E47" s="303" t="s">
        <v>215</v>
      </c>
      <c r="F47" s="22"/>
      <c r="G47" s="28"/>
      <c r="H47" s="304" t="s">
        <v>216</v>
      </c>
      <c r="I47" s="297"/>
      <c r="J47" s="282"/>
      <c r="K47" s="304" t="s">
        <v>217</v>
      </c>
      <c r="L47" s="297"/>
      <c r="M47" s="282"/>
      <c r="N47" s="304" t="s">
        <v>218</v>
      </c>
      <c r="O47" s="297"/>
      <c r="P47" s="282"/>
      <c r="Q47" s="304" t="s">
        <v>219</v>
      </c>
      <c r="R47" s="297"/>
      <c r="S47" s="282"/>
      <c r="T47" s="265"/>
      <c r="U47" s="265"/>
      <c r="V47" s="265"/>
    </row>
    <row r="48">
      <c r="A48" s="264"/>
      <c r="B48" s="458" t="s">
        <v>245</v>
      </c>
      <c r="C48" s="306" t="s">
        <v>221</v>
      </c>
      <c r="D48" s="306" t="s">
        <v>222</v>
      </c>
      <c r="E48" s="301" t="s">
        <v>223</v>
      </c>
      <c r="F48" s="301" t="s">
        <v>224</v>
      </c>
      <c r="G48" s="301" t="s">
        <v>66</v>
      </c>
      <c r="H48" s="301" t="s">
        <v>223</v>
      </c>
      <c r="I48" s="301" t="s">
        <v>224</v>
      </c>
      <c r="J48" s="301" t="s">
        <v>66</v>
      </c>
      <c r="K48" s="301" t="s">
        <v>223</v>
      </c>
      <c r="L48" s="301" t="s">
        <v>224</v>
      </c>
      <c r="M48" s="301" t="s">
        <v>66</v>
      </c>
      <c r="N48" s="301" t="s">
        <v>223</v>
      </c>
      <c r="O48" s="301" t="s">
        <v>224</v>
      </c>
      <c r="P48" s="301" t="s">
        <v>66</v>
      </c>
      <c r="Q48" s="301" t="s">
        <v>223</v>
      </c>
      <c r="R48" s="301" t="s">
        <v>224</v>
      </c>
      <c r="S48" s="301" t="s">
        <v>66</v>
      </c>
      <c r="T48" s="307" t="s">
        <v>225</v>
      </c>
      <c r="U48" s="421" t="s">
        <v>263</v>
      </c>
      <c r="V48" s="265"/>
    </row>
    <row r="49" ht="33.75" customHeight="1">
      <c r="A49" s="264"/>
      <c r="B49" s="308"/>
      <c r="C49" s="309">
        <v>1.0</v>
      </c>
      <c r="D49" s="373" t="s">
        <v>130</v>
      </c>
      <c r="E49" s="259">
        <v>12.0</v>
      </c>
      <c r="F49" s="375">
        <v>12.0</v>
      </c>
      <c r="G49" s="384"/>
      <c r="H49" s="376">
        <v>12.0</v>
      </c>
      <c r="I49" s="375">
        <v>12.0</v>
      </c>
      <c r="J49" s="315"/>
      <c r="K49" s="316">
        <v>2.0</v>
      </c>
      <c r="L49" s="236">
        <v>45999.0</v>
      </c>
      <c r="M49" s="346"/>
      <c r="N49" s="317"/>
      <c r="O49" s="316"/>
      <c r="P49" s="317"/>
      <c r="Q49" s="318"/>
      <c r="R49" s="316"/>
      <c r="S49" s="318"/>
      <c r="T49" s="425">
        <f t="shared" ref="T49:T55" si="4">(E49*F49)+(H49*I49)+(K49*L49)+(N49*O49)+(Q49*R49)</f>
        <v>92286</v>
      </c>
      <c r="U49" s="422"/>
      <c r="V49" s="265"/>
    </row>
    <row r="50" ht="33.75" customHeight="1">
      <c r="A50" s="264"/>
      <c r="B50" s="308"/>
      <c r="C50" s="330">
        <v>2.0</v>
      </c>
      <c r="D50" s="377" t="s">
        <v>183</v>
      </c>
      <c r="E50" s="423">
        <v>10.0</v>
      </c>
      <c r="F50" s="379">
        <v>15.0</v>
      </c>
      <c r="G50" s="380"/>
      <c r="H50" s="381">
        <v>20.0</v>
      </c>
      <c r="I50" s="379">
        <v>12.0</v>
      </c>
      <c r="J50" s="337"/>
      <c r="K50" s="338" t="s">
        <v>78</v>
      </c>
      <c r="L50" s="436" t="s">
        <v>134</v>
      </c>
      <c r="M50" s="337" t="s">
        <v>73</v>
      </c>
      <c r="N50" s="25"/>
      <c r="O50" s="338">
        <v>3101.0</v>
      </c>
      <c r="P50" s="339"/>
      <c r="Q50" s="336"/>
      <c r="R50" s="338"/>
      <c r="S50" s="336"/>
      <c r="T50" s="319" t="str">
        <f t="shared" si="4"/>
        <v>#VALUE!</v>
      </c>
      <c r="U50" s="422"/>
      <c r="V50" s="265"/>
    </row>
    <row r="51" ht="33.75" customHeight="1">
      <c r="A51" s="264"/>
      <c r="B51" s="308"/>
      <c r="C51" s="309">
        <v>3.0</v>
      </c>
      <c r="D51" s="382" t="s">
        <v>131</v>
      </c>
      <c r="E51" s="259">
        <v>12.0</v>
      </c>
      <c r="F51" s="383">
        <v>52.0</v>
      </c>
      <c r="H51" s="385">
        <v>11.0</v>
      </c>
      <c r="I51" s="383">
        <v>52.0</v>
      </c>
      <c r="J51" s="345"/>
      <c r="K51" s="346">
        <v>2.0</v>
      </c>
      <c r="L51" s="209">
        <v>45634.0</v>
      </c>
      <c r="M51" s="346"/>
      <c r="N51" s="318"/>
      <c r="O51" s="346"/>
      <c r="P51" s="344"/>
      <c r="Q51" s="318"/>
      <c r="R51" s="346"/>
      <c r="S51" s="318"/>
      <c r="T51" s="425">
        <f t="shared" si="4"/>
        <v>92464</v>
      </c>
      <c r="U51" s="422"/>
      <c r="V51" s="265"/>
    </row>
    <row r="52" ht="33.75" customHeight="1">
      <c r="A52" s="264"/>
      <c r="B52" s="308"/>
      <c r="C52" s="330">
        <v>4.0</v>
      </c>
      <c r="D52" s="377" t="s">
        <v>106</v>
      </c>
      <c r="E52" s="423">
        <v>10.0</v>
      </c>
      <c r="F52" s="379">
        <v>60.0</v>
      </c>
      <c r="G52" s="380"/>
      <c r="H52" s="381">
        <v>8.0</v>
      </c>
      <c r="I52" s="379">
        <v>60.0</v>
      </c>
      <c r="J52" s="337"/>
      <c r="K52" s="338">
        <v>2.0</v>
      </c>
      <c r="L52" s="459">
        <v>45573.0</v>
      </c>
      <c r="M52" s="338"/>
      <c r="N52" s="336"/>
      <c r="O52" s="338">
        <v>3101.0</v>
      </c>
      <c r="P52" s="339"/>
      <c r="Q52" s="336"/>
      <c r="R52" s="338"/>
      <c r="S52" s="336"/>
      <c r="T52" s="425">
        <f t="shared" si="4"/>
        <v>92226</v>
      </c>
      <c r="U52" s="422"/>
      <c r="V52" s="265"/>
    </row>
    <row r="53" ht="33.75" customHeight="1">
      <c r="A53" s="264"/>
      <c r="B53" s="308"/>
      <c r="C53" s="309">
        <v>5.0</v>
      </c>
      <c r="D53" s="382" t="s">
        <v>185</v>
      </c>
      <c r="E53" s="244">
        <v>12.0</v>
      </c>
      <c r="F53" s="383">
        <v>40.0</v>
      </c>
      <c r="G53" s="384"/>
      <c r="H53" s="385">
        <v>10.0</v>
      </c>
      <c r="I53" s="383">
        <v>40.0</v>
      </c>
      <c r="J53" s="345"/>
      <c r="K53" s="346">
        <v>2.0</v>
      </c>
      <c r="L53" s="239">
        <v>45636.0</v>
      </c>
      <c r="M53" s="346"/>
      <c r="N53" s="344"/>
      <c r="O53" s="346"/>
      <c r="P53" s="344"/>
      <c r="Q53" s="318"/>
      <c r="R53" s="346"/>
      <c r="S53" s="318"/>
      <c r="T53" s="425">
        <f t="shared" si="4"/>
        <v>92152</v>
      </c>
      <c r="U53" s="422"/>
      <c r="V53" s="265"/>
    </row>
    <row r="54" ht="33.75" customHeight="1">
      <c r="A54" s="264"/>
      <c r="B54" s="308"/>
      <c r="C54" s="330">
        <v>6.0</v>
      </c>
      <c r="D54" s="331" t="s">
        <v>186</v>
      </c>
      <c r="E54" s="423">
        <v>12.0</v>
      </c>
      <c r="F54" s="379">
        <v>70.0</v>
      </c>
      <c r="G54" s="380"/>
      <c r="H54" s="381">
        <v>12.0</v>
      </c>
      <c r="I54" s="379">
        <v>70.0</v>
      </c>
      <c r="J54" s="337"/>
      <c r="K54" s="338">
        <v>2.0</v>
      </c>
      <c r="L54" s="424">
        <v>46001.0</v>
      </c>
      <c r="M54" s="338"/>
      <c r="N54" s="336"/>
      <c r="O54" s="338"/>
      <c r="P54" s="339"/>
      <c r="Q54" s="336"/>
      <c r="R54" s="338"/>
      <c r="S54" s="336"/>
      <c r="T54" s="425">
        <f t="shared" si="4"/>
        <v>93682</v>
      </c>
      <c r="U54" s="422"/>
      <c r="V54" s="265"/>
    </row>
    <row r="55" ht="33.75" customHeight="1">
      <c r="A55" s="264"/>
      <c r="B55" s="361"/>
      <c r="C55" s="309">
        <v>7.0</v>
      </c>
      <c r="D55" s="382" t="s">
        <v>187</v>
      </c>
      <c r="E55" s="259">
        <v>12.0</v>
      </c>
      <c r="F55" s="342">
        <v>10.0</v>
      </c>
      <c r="G55" s="318"/>
      <c r="H55" s="343">
        <v>10.0</v>
      </c>
      <c r="I55" s="342">
        <v>15.0</v>
      </c>
      <c r="J55" s="345"/>
      <c r="K55" s="346" t="s">
        <v>78</v>
      </c>
      <c r="L55" s="236">
        <v>45999.0</v>
      </c>
      <c r="M55" s="100" t="s">
        <v>73</v>
      </c>
      <c r="O55" s="261">
        <v>3101.0</v>
      </c>
      <c r="P55" s="344"/>
      <c r="Q55" s="318"/>
      <c r="R55" s="346"/>
      <c r="S55" s="318"/>
      <c r="T55" s="319" t="str">
        <f t="shared" si="4"/>
        <v>#VALUE!</v>
      </c>
      <c r="U55" s="422"/>
      <c r="V55" s="265"/>
    </row>
    <row r="56" ht="30.0" customHeight="1">
      <c r="A56" s="264"/>
      <c r="B56" s="368"/>
      <c r="C56" s="265"/>
      <c r="D56" s="265"/>
      <c r="E56" s="265"/>
      <c r="F56" s="265"/>
      <c r="G56" s="265"/>
      <c r="H56" s="265"/>
      <c r="I56" s="265"/>
      <c r="J56" s="292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</row>
    <row r="57">
      <c r="A57" s="264"/>
      <c r="B57" s="265"/>
      <c r="C57" s="294" t="s">
        <v>209</v>
      </c>
      <c r="D57" s="295"/>
      <c r="E57" s="296" t="s">
        <v>233</v>
      </c>
      <c r="F57" s="297"/>
      <c r="G57" s="297"/>
      <c r="H57" s="297"/>
      <c r="I57" s="297"/>
      <c r="J57" s="297"/>
      <c r="K57" s="297"/>
      <c r="L57" s="297"/>
      <c r="M57" s="282"/>
      <c r="N57" s="298" t="s">
        <v>211</v>
      </c>
      <c r="O57" s="268"/>
      <c r="P57" s="57"/>
      <c r="Q57" s="286"/>
      <c r="R57" s="268"/>
      <c r="S57" s="57"/>
      <c r="T57" s="292"/>
      <c r="U57" s="265"/>
      <c r="V57" s="265"/>
    </row>
    <row r="58">
      <c r="A58" s="264"/>
      <c r="B58" s="265"/>
      <c r="C58" s="301" t="s">
        <v>214</v>
      </c>
      <c r="D58" s="302">
        <v>45971.0</v>
      </c>
      <c r="E58" s="303" t="s">
        <v>215</v>
      </c>
      <c r="F58" s="22"/>
      <c r="G58" s="28"/>
      <c r="H58" s="304" t="s">
        <v>216</v>
      </c>
      <c r="I58" s="297"/>
      <c r="J58" s="282"/>
      <c r="K58" s="304"/>
      <c r="L58" s="297"/>
      <c r="M58" s="282"/>
      <c r="N58" s="304"/>
      <c r="O58" s="297"/>
      <c r="P58" s="282"/>
      <c r="Q58" s="304" t="s">
        <v>219</v>
      </c>
      <c r="R58" s="297"/>
      <c r="S58" s="282"/>
      <c r="T58" s="265"/>
      <c r="U58" s="265"/>
      <c r="V58" s="265"/>
    </row>
    <row r="59">
      <c r="A59" s="264"/>
      <c r="B59" s="458" t="s">
        <v>247</v>
      </c>
      <c r="C59" s="306" t="s">
        <v>221</v>
      </c>
      <c r="D59" s="406" t="s">
        <v>222</v>
      </c>
      <c r="E59" s="301" t="s">
        <v>223</v>
      </c>
      <c r="F59" s="301" t="s">
        <v>224</v>
      </c>
      <c r="G59" s="301" t="s">
        <v>66</v>
      </c>
      <c r="H59" s="301" t="s">
        <v>223</v>
      </c>
      <c r="I59" s="301" t="s">
        <v>224</v>
      </c>
      <c r="J59" s="301" t="s">
        <v>66</v>
      </c>
      <c r="K59" s="301" t="s">
        <v>64</v>
      </c>
      <c r="L59" s="301" t="s">
        <v>223</v>
      </c>
      <c r="M59" s="444" t="s">
        <v>266</v>
      </c>
      <c r="N59" s="282"/>
      <c r="O59" s="445" t="s">
        <v>68</v>
      </c>
      <c r="P59" s="301"/>
      <c r="Q59" s="301"/>
      <c r="R59" s="301"/>
      <c r="S59" s="301"/>
      <c r="T59" s="307" t="s">
        <v>225</v>
      </c>
      <c r="U59" s="421" t="s">
        <v>263</v>
      </c>
      <c r="V59" s="265"/>
    </row>
    <row r="60" ht="33.75" customHeight="1">
      <c r="A60" s="264"/>
      <c r="B60" s="308"/>
      <c r="C60" s="309">
        <v>1.0</v>
      </c>
      <c r="D60" s="373" t="s">
        <v>104</v>
      </c>
      <c r="E60" s="374">
        <v>12.0</v>
      </c>
      <c r="F60" s="312">
        <v>10.0</v>
      </c>
      <c r="G60" s="374"/>
      <c r="H60" s="376">
        <v>12.0</v>
      </c>
      <c r="I60" s="312">
        <v>10.0</v>
      </c>
      <c r="J60" s="316"/>
      <c r="K60" s="316">
        <v>2.0</v>
      </c>
      <c r="L60" s="209">
        <v>45634.0</v>
      </c>
      <c r="M60" s="100" t="s">
        <v>124</v>
      </c>
      <c r="O60" s="316"/>
      <c r="P60" s="211"/>
      <c r="Q60" s="218"/>
      <c r="R60" s="418"/>
      <c r="S60" s="211"/>
      <c r="T60" s="425">
        <f t="shared" ref="T60:T66" si="5">(E60*F60)+(H60*I60)+(K60*L60)+(N60*O60)+(Q60*R60)</f>
        <v>91508</v>
      </c>
      <c r="U60" s="422"/>
      <c r="V60" s="265"/>
    </row>
    <row r="61" ht="33.75" customHeight="1">
      <c r="A61" s="264"/>
      <c r="B61" s="308"/>
      <c r="C61" s="330">
        <v>2.0</v>
      </c>
      <c r="D61" s="377" t="s">
        <v>145</v>
      </c>
      <c r="E61" s="378">
        <v>10.0</v>
      </c>
      <c r="F61" s="333">
        <v>70.0</v>
      </c>
      <c r="G61" s="378"/>
      <c r="H61" s="381">
        <v>8.0</v>
      </c>
      <c r="I61" s="333">
        <v>70.0</v>
      </c>
      <c r="J61" s="338"/>
      <c r="K61" s="338">
        <v>2.0</v>
      </c>
      <c r="L61" s="469">
        <v>45938.0</v>
      </c>
      <c r="M61" s="462"/>
      <c r="N61" s="459"/>
      <c r="O61" s="338"/>
      <c r="P61" s="431"/>
      <c r="Q61" s="455"/>
      <c r="R61" s="460"/>
      <c r="S61" s="431"/>
      <c r="T61" s="461">
        <f t="shared" si="5"/>
        <v>93136</v>
      </c>
      <c r="U61" s="422"/>
      <c r="V61" s="265"/>
    </row>
    <row r="62" ht="33.75" customHeight="1">
      <c r="A62" s="264"/>
      <c r="B62" s="308"/>
      <c r="C62" s="309">
        <v>3.0</v>
      </c>
      <c r="D62" s="382" t="s">
        <v>146</v>
      </c>
      <c r="E62" s="374">
        <v>8.0</v>
      </c>
      <c r="F62" s="342">
        <v>28.0</v>
      </c>
      <c r="G62" s="374"/>
      <c r="H62" s="385">
        <v>7.0</v>
      </c>
      <c r="I62" s="342">
        <v>26.0</v>
      </c>
      <c r="J62" s="346"/>
      <c r="K62" s="346">
        <v>2.0</v>
      </c>
      <c r="L62" s="209">
        <v>45509.0</v>
      </c>
      <c r="M62" s="218"/>
      <c r="N62" s="209"/>
      <c r="O62" s="346"/>
      <c r="P62" s="223"/>
      <c r="Q62" s="218"/>
      <c r="R62" s="418"/>
      <c r="S62" s="223"/>
      <c r="T62" s="319">
        <f t="shared" si="5"/>
        <v>91424</v>
      </c>
      <c r="U62" s="422"/>
      <c r="V62" s="265"/>
    </row>
    <row r="63" ht="33.75" customHeight="1">
      <c r="A63" s="264"/>
      <c r="B63" s="308"/>
      <c r="C63" s="330">
        <v>4.0</v>
      </c>
      <c r="D63" s="377" t="s">
        <v>76</v>
      </c>
      <c r="E63" s="378">
        <v>8.0</v>
      </c>
      <c r="F63" s="333">
        <v>10.0</v>
      </c>
      <c r="G63" s="378"/>
      <c r="H63" s="381">
        <v>16.0</v>
      </c>
      <c r="I63" s="333">
        <v>7.5</v>
      </c>
      <c r="J63" s="338"/>
      <c r="K63" s="338" t="s">
        <v>78</v>
      </c>
      <c r="L63" s="336" t="s">
        <v>108</v>
      </c>
      <c r="M63" s="455" t="s">
        <v>97</v>
      </c>
      <c r="O63" s="338">
        <v>3101.0</v>
      </c>
      <c r="P63" s="431"/>
      <c r="Q63" s="462"/>
      <c r="R63" s="416"/>
      <c r="S63" s="431"/>
      <c r="T63" s="319" t="str">
        <f t="shared" si="5"/>
        <v>#VALUE!</v>
      </c>
      <c r="U63" s="422"/>
      <c r="V63" s="265"/>
    </row>
    <row r="64" ht="33.75" customHeight="1">
      <c r="A64" s="264"/>
      <c r="B64" s="308"/>
      <c r="C64" s="309">
        <v>5.0</v>
      </c>
      <c r="D64" s="382" t="s">
        <v>147</v>
      </c>
      <c r="E64" s="374">
        <v>14.0</v>
      </c>
      <c r="F64" s="342">
        <v>5.0</v>
      </c>
      <c r="G64" s="374"/>
      <c r="H64" s="385">
        <v>16.0</v>
      </c>
      <c r="I64" s="342">
        <v>5.0</v>
      </c>
      <c r="J64" s="346"/>
      <c r="K64" s="346" t="s">
        <v>78</v>
      </c>
      <c r="L64" s="222" t="s">
        <v>134</v>
      </c>
      <c r="M64" s="100" t="s">
        <v>73</v>
      </c>
      <c r="O64" s="346">
        <v>3101.0</v>
      </c>
      <c r="P64" s="242"/>
      <c r="Q64" s="241"/>
      <c r="R64" s="464"/>
      <c r="S64" s="242"/>
      <c r="T64" s="319" t="str">
        <f t="shared" si="5"/>
        <v>#VALUE!</v>
      </c>
      <c r="U64" s="422"/>
      <c r="V64" s="265"/>
    </row>
    <row r="65" ht="33.75" customHeight="1">
      <c r="A65" s="264"/>
      <c r="B65" s="308"/>
      <c r="C65" s="330">
        <v>6.0</v>
      </c>
      <c r="D65" s="331" t="s">
        <v>149</v>
      </c>
      <c r="E65" s="378">
        <v>12.0</v>
      </c>
      <c r="F65" s="333">
        <v>20.0</v>
      </c>
      <c r="G65" s="378"/>
      <c r="H65" s="381">
        <v>12.0</v>
      </c>
      <c r="I65" s="333">
        <v>20.0</v>
      </c>
      <c r="J65" s="338"/>
      <c r="K65" s="338">
        <v>2.0</v>
      </c>
      <c r="L65" s="469">
        <v>45999.0</v>
      </c>
      <c r="M65" s="462"/>
      <c r="N65" s="459"/>
      <c r="O65" s="338">
        <v>3101.0</v>
      </c>
      <c r="P65" s="430"/>
      <c r="Q65" s="455"/>
      <c r="R65" s="460"/>
      <c r="S65" s="430"/>
      <c r="T65" s="319">
        <f t="shared" si="5"/>
        <v>92478</v>
      </c>
      <c r="U65" s="422"/>
      <c r="V65" s="265"/>
    </row>
    <row r="66" ht="33.75" customHeight="1">
      <c r="A66" s="264"/>
      <c r="B66" s="361"/>
      <c r="C66" s="309">
        <v>7.0</v>
      </c>
      <c r="D66" s="382" t="s">
        <v>151</v>
      </c>
      <c r="E66" s="343">
        <v>12.0</v>
      </c>
      <c r="F66" s="342">
        <v>5.0</v>
      </c>
      <c r="G66" s="311"/>
      <c r="H66" s="343">
        <v>16.0</v>
      </c>
      <c r="I66" s="342">
        <v>4.5</v>
      </c>
      <c r="J66" s="318"/>
      <c r="K66" s="342" t="s">
        <v>78</v>
      </c>
      <c r="L66" s="342" t="s">
        <v>134</v>
      </c>
      <c r="M66" s="343" t="s">
        <v>73</v>
      </c>
      <c r="N66" s="25"/>
      <c r="O66" s="342">
        <v>3200.0</v>
      </c>
      <c r="P66" s="246"/>
      <c r="Q66" s="97"/>
      <c r="R66" s="465"/>
      <c r="S66" s="246"/>
      <c r="T66" s="319" t="str">
        <f t="shared" si="5"/>
        <v>#VALUE!</v>
      </c>
      <c r="U66" s="422"/>
      <c r="V66" s="265"/>
    </row>
    <row r="67" ht="28.5" customHeight="1">
      <c r="A67" s="265"/>
      <c r="B67" s="265"/>
      <c r="C67" s="265"/>
      <c r="D67" s="265"/>
      <c r="E67" s="265"/>
      <c r="F67" s="265"/>
      <c r="G67" s="265"/>
      <c r="H67" s="265"/>
      <c r="I67" s="265"/>
      <c r="J67" s="292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</row>
    <row r="68">
      <c r="A68" s="265"/>
      <c r="B68" s="265"/>
      <c r="C68" s="294" t="s">
        <v>209</v>
      </c>
      <c r="D68" s="295"/>
      <c r="E68" s="296" t="s">
        <v>241</v>
      </c>
      <c r="F68" s="297"/>
      <c r="G68" s="297"/>
      <c r="H68" s="297"/>
      <c r="I68" s="297"/>
      <c r="J68" s="297"/>
      <c r="K68" s="297"/>
      <c r="L68" s="297"/>
      <c r="M68" s="282"/>
      <c r="N68" s="298" t="s">
        <v>211</v>
      </c>
      <c r="O68" s="268"/>
      <c r="P68" s="57"/>
      <c r="Q68" s="286"/>
      <c r="R68" s="268"/>
      <c r="S68" s="57"/>
      <c r="T68" s="292"/>
      <c r="U68" s="265"/>
      <c r="V68" s="265"/>
    </row>
    <row r="69">
      <c r="A69" s="402"/>
      <c r="B69" s="265"/>
      <c r="C69" s="301" t="s">
        <v>214</v>
      </c>
      <c r="D69" s="405">
        <v>45973.0</v>
      </c>
      <c r="E69" s="303" t="s">
        <v>215</v>
      </c>
      <c r="F69" s="22"/>
      <c r="G69" s="28"/>
      <c r="H69" s="304" t="s">
        <v>216</v>
      </c>
      <c r="I69" s="297"/>
      <c r="J69" s="282"/>
      <c r="K69" s="304" t="s">
        <v>217</v>
      </c>
      <c r="L69" s="297"/>
      <c r="M69" s="282"/>
      <c r="N69" s="304" t="s">
        <v>218</v>
      </c>
      <c r="O69" s="297"/>
      <c r="P69" s="282"/>
      <c r="Q69" s="304" t="s">
        <v>219</v>
      </c>
      <c r="R69" s="297"/>
      <c r="S69" s="282"/>
      <c r="T69" s="265"/>
      <c r="U69" s="265"/>
      <c r="V69" s="265"/>
    </row>
    <row r="70">
      <c r="A70" s="402"/>
      <c r="B70" s="457" t="s">
        <v>249</v>
      </c>
      <c r="C70" s="306" t="s">
        <v>221</v>
      </c>
      <c r="D70" s="306" t="s">
        <v>222</v>
      </c>
      <c r="E70" s="301" t="s">
        <v>223</v>
      </c>
      <c r="F70" s="301" t="s">
        <v>224</v>
      </c>
      <c r="G70" s="301" t="s">
        <v>66</v>
      </c>
      <c r="H70" s="301" t="s">
        <v>223</v>
      </c>
      <c r="I70" s="301" t="s">
        <v>224</v>
      </c>
      <c r="J70" s="301" t="s">
        <v>66</v>
      </c>
      <c r="K70" s="301" t="s">
        <v>223</v>
      </c>
      <c r="L70" s="301" t="s">
        <v>224</v>
      </c>
      <c r="M70" s="301" t="s">
        <v>66</v>
      </c>
      <c r="N70" s="301" t="s">
        <v>223</v>
      </c>
      <c r="O70" s="301" t="s">
        <v>224</v>
      </c>
      <c r="P70" s="301" t="s">
        <v>66</v>
      </c>
      <c r="Q70" s="301" t="s">
        <v>223</v>
      </c>
      <c r="R70" s="301" t="s">
        <v>224</v>
      </c>
      <c r="S70" s="301" t="s">
        <v>66</v>
      </c>
      <c r="T70" s="307" t="s">
        <v>225</v>
      </c>
      <c r="U70" s="421" t="s">
        <v>263</v>
      </c>
      <c r="V70" s="265"/>
    </row>
    <row r="71" ht="33.75" customHeight="1">
      <c r="A71" s="264"/>
      <c r="B71" s="308"/>
      <c r="C71" s="309">
        <v>1.0</v>
      </c>
      <c r="D71" s="360" t="s">
        <v>154</v>
      </c>
      <c r="E71" s="413">
        <v>10.0</v>
      </c>
      <c r="F71" s="442">
        <v>10.0</v>
      </c>
      <c r="G71" s="414"/>
      <c r="H71" s="413">
        <v>10.0</v>
      </c>
      <c r="I71" s="442">
        <v>10.0</v>
      </c>
      <c r="J71" s="317"/>
      <c r="K71" s="312">
        <v>2.0</v>
      </c>
      <c r="L71" s="209">
        <v>45573.0</v>
      </c>
      <c r="M71" s="218"/>
      <c r="N71" s="218"/>
      <c r="O71" s="316"/>
      <c r="P71" s="316"/>
      <c r="Q71" s="318"/>
      <c r="R71" s="316"/>
      <c r="S71" s="318"/>
      <c r="T71" s="425">
        <f t="shared" ref="T71:T77" si="6">(E71*F71)+(H71*I71)+(K71*L71)+(N71*O71)+(Q71*R71)</f>
        <v>91346</v>
      </c>
      <c r="U71" s="422"/>
      <c r="V71" s="265"/>
    </row>
    <row r="72" ht="33.75" customHeight="1">
      <c r="A72" s="264"/>
      <c r="B72" s="308"/>
      <c r="C72" s="330">
        <v>2.0</v>
      </c>
      <c r="D72" s="358" t="s">
        <v>155</v>
      </c>
      <c r="E72" s="427">
        <v>12.0</v>
      </c>
      <c r="F72" s="427">
        <v>20.0</v>
      </c>
      <c r="G72" s="416"/>
      <c r="H72" s="427">
        <v>13.0</v>
      </c>
      <c r="I72" s="427">
        <v>20.0</v>
      </c>
      <c r="J72" s="339"/>
      <c r="K72" s="333" t="s">
        <v>78</v>
      </c>
      <c r="L72" s="459">
        <v>45636.0</v>
      </c>
      <c r="M72" s="455" t="s">
        <v>73</v>
      </c>
      <c r="O72" s="338"/>
      <c r="P72" s="338"/>
      <c r="Q72" s="336"/>
      <c r="R72" s="338"/>
      <c r="S72" s="336"/>
      <c r="T72" s="319" t="str">
        <f t="shared" si="6"/>
        <v>#VALUE!</v>
      </c>
      <c r="U72" s="422"/>
      <c r="V72" s="265"/>
    </row>
    <row r="73" ht="33.75" customHeight="1">
      <c r="A73" s="264"/>
      <c r="B73" s="308"/>
      <c r="C73" s="309">
        <v>3.0</v>
      </c>
      <c r="D73" s="360" t="s">
        <v>156</v>
      </c>
      <c r="E73" s="428">
        <v>8.0</v>
      </c>
      <c r="F73" s="428">
        <v>60.0</v>
      </c>
      <c r="G73" s="418"/>
      <c r="H73" s="417">
        <v>8.0</v>
      </c>
      <c r="I73" s="428">
        <v>60.0</v>
      </c>
      <c r="J73" s="344"/>
      <c r="K73" s="342">
        <v>2.0</v>
      </c>
      <c r="L73" s="236">
        <v>45875.0</v>
      </c>
      <c r="M73" s="218"/>
      <c r="N73" s="218"/>
      <c r="O73" s="346"/>
      <c r="P73" s="346"/>
      <c r="Q73" s="318"/>
      <c r="R73" s="346"/>
      <c r="S73" s="318"/>
      <c r="T73" s="425">
        <f t="shared" si="6"/>
        <v>92710</v>
      </c>
      <c r="U73" s="422"/>
      <c r="V73" s="265"/>
    </row>
    <row r="74" ht="33.75" customHeight="1">
      <c r="A74" s="264"/>
      <c r="B74" s="308"/>
      <c r="C74" s="330">
        <v>4.0</v>
      </c>
      <c r="D74" s="358" t="s">
        <v>159</v>
      </c>
      <c r="E74" s="415">
        <v>12.0</v>
      </c>
      <c r="F74" s="427">
        <v>55.0</v>
      </c>
      <c r="G74" s="416"/>
      <c r="H74" s="415">
        <v>12.0</v>
      </c>
      <c r="I74" s="427">
        <v>55.0</v>
      </c>
      <c r="J74" s="339"/>
      <c r="K74" s="333">
        <v>2.0</v>
      </c>
      <c r="L74" s="459">
        <v>45636.0</v>
      </c>
      <c r="M74" s="462"/>
      <c r="N74" s="462"/>
      <c r="O74" s="338"/>
      <c r="P74" s="338"/>
      <c r="Q74" s="336"/>
      <c r="R74" s="338"/>
      <c r="S74" s="336"/>
      <c r="T74" s="425">
        <f t="shared" si="6"/>
        <v>92592</v>
      </c>
      <c r="U74" s="422"/>
      <c r="V74" s="265"/>
    </row>
    <row r="75" ht="33.75" customHeight="1">
      <c r="A75" s="264"/>
      <c r="B75" s="308"/>
      <c r="C75" s="309">
        <v>5.0</v>
      </c>
      <c r="D75" s="341" t="s">
        <v>265</v>
      </c>
      <c r="E75" s="428">
        <v>7.0</v>
      </c>
      <c r="F75" s="418"/>
      <c r="G75" s="418"/>
      <c r="H75" s="417">
        <v>5.0</v>
      </c>
      <c r="I75" s="418"/>
      <c r="J75" s="344"/>
      <c r="K75" s="342">
        <v>2.0</v>
      </c>
      <c r="L75" s="463">
        <v>45843.0</v>
      </c>
      <c r="M75" s="241"/>
      <c r="N75" s="241"/>
      <c r="O75" s="346"/>
      <c r="P75" s="346"/>
      <c r="Q75" s="318"/>
      <c r="R75" s="346"/>
      <c r="S75" s="318"/>
      <c r="T75" s="425">
        <f t="shared" si="6"/>
        <v>91686</v>
      </c>
      <c r="U75" s="422"/>
      <c r="V75" s="265"/>
    </row>
    <row r="76" ht="33.75" customHeight="1">
      <c r="A76" s="264"/>
      <c r="B76" s="308"/>
      <c r="C76" s="330">
        <v>6.0</v>
      </c>
      <c r="D76" s="358" t="s">
        <v>107</v>
      </c>
      <c r="E76" s="427">
        <v>12.0</v>
      </c>
      <c r="F76" s="415">
        <v>10.0</v>
      </c>
      <c r="G76" s="419"/>
      <c r="H76" s="427">
        <v>18.0</v>
      </c>
      <c r="I76" s="489">
        <v>45784.0</v>
      </c>
      <c r="J76" s="339"/>
      <c r="K76" s="338" t="s">
        <v>78</v>
      </c>
      <c r="L76" s="436" t="s">
        <v>134</v>
      </c>
      <c r="M76" s="455" t="s">
        <v>73</v>
      </c>
      <c r="O76" s="338">
        <v>3100.0</v>
      </c>
      <c r="P76" s="338"/>
      <c r="Q76" s="336"/>
      <c r="R76" s="338"/>
      <c r="S76" s="336"/>
      <c r="T76" s="319" t="str">
        <f t="shared" si="6"/>
        <v>#VALUE!</v>
      </c>
      <c r="U76" s="422"/>
      <c r="V76" s="265"/>
    </row>
    <row r="77" ht="33.75" customHeight="1">
      <c r="A77" s="264"/>
      <c r="B77" s="361"/>
      <c r="C77" s="309">
        <v>7.0</v>
      </c>
      <c r="D77" s="360" t="s">
        <v>163</v>
      </c>
      <c r="E77" s="428">
        <v>14.0</v>
      </c>
      <c r="F77" s="428">
        <v>5.0</v>
      </c>
      <c r="G77" s="420"/>
      <c r="H77" s="428">
        <v>16.0</v>
      </c>
      <c r="I77" s="428">
        <v>5.0</v>
      </c>
      <c r="J77" s="344"/>
      <c r="K77" s="342" t="s">
        <v>78</v>
      </c>
      <c r="L77" s="244" t="s">
        <v>134</v>
      </c>
      <c r="M77" s="97" t="s">
        <v>73</v>
      </c>
      <c r="O77" s="346">
        <v>3101.0</v>
      </c>
      <c r="P77" s="346"/>
      <c r="Q77" s="318"/>
      <c r="R77" s="346"/>
      <c r="S77" s="318"/>
      <c r="T77" s="319" t="str">
        <f t="shared" si="6"/>
        <v>#VALUE!</v>
      </c>
      <c r="U77" s="422"/>
      <c r="V77" s="265"/>
    </row>
    <row r="78" ht="39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7"/>
      <c r="B79" s="265"/>
      <c r="C79" s="294" t="s">
        <v>209</v>
      </c>
      <c r="D79" s="295"/>
      <c r="E79" s="296" t="s">
        <v>210</v>
      </c>
      <c r="F79" s="297"/>
      <c r="G79" s="297"/>
      <c r="H79" s="297"/>
      <c r="I79" s="297"/>
      <c r="J79" s="297"/>
      <c r="K79" s="297"/>
      <c r="L79" s="297"/>
      <c r="M79" s="282"/>
      <c r="N79" s="298" t="s">
        <v>211</v>
      </c>
      <c r="O79" s="268"/>
      <c r="P79" s="57"/>
      <c r="Q79" s="286"/>
      <c r="R79" s="268"/>
      <c r="S79" s="57"/>
      <c r="T79" s="292"/>
      <c r="U79" s="265"/>
      <c r="V79" s="265"/>
    </row>
    <row r="80">
      <c r="A80" s="37"/>
      <c r="B80" s="265"/>
      <c r="C80" s="301" t="s">
        <v>214</v>
      </c>
      <c r="D80" s="302">
        <v>45975.0</v>
      </c>
      <c r="E80" s="303" t="s">
        <v>215</v>
      </c>
      <c r="F80" s="22"/>
      <c r="G80" s="28"/>
      <c r="H80" s="304" t="s">
        <v>216</v>
      </c>
      <c r="I80" s="297"/>
      <c r="J80" s="282"/>
      <c r="K80" s="304"/>
      <c r="L80" s="297"/>
      <c r="M80" s="282"/>
      <c r="N80" s="304"/>
      <c r="O80" s="297"/>
      <c r="P80" s="282"/>
      <c r="Q80" s="304" t="s">
        <v>219</v>
      </c>
      <c r="R80" s="297"/>
      <c r="S80" s="282"/>
      <c r="T80" s="265"/>
      <c r="U80" s="265"/>
      <c r="V80" s="265"/>
    </row>
    <row r="81">
      <c r="A81" s="37"/>
      <c r="B81" s="456" t="s">
        <v>251</v>
      </c>
      <c r="C81" s="306" t="s">
        <v>221</v>
      </c>
      <c r="D81" s="306" t="s">
        <v>222</v>
      </c>
      <c r="E81" s="301" t="s">
        <v>223</v>
      </c>
      <c r="F81" s="301" t="s">
        <v>224</v>
      </c>
      <c r="G81" s="301" t="s">
        <v>66</v>
      </c>
      <c r="H81" s="301" t="s">
        <v>223</v>
      </c>
      <c r="I81" s="301" t="s">
        <v>224</v>
      </c>
      <c r="J81" s="301" t="s">
        <v>66</v>
      </c>
      <c r="K81" s="301" t="s">
        <v>64</v>
      </c>
      <c r="L81" s="301" t="s">
        <v>223</v>
      </c>
      <c r="M81" s="444" t="s">
        <v>266</v>
      </c>
      <c r="N81" s="282"/>
      <c r="O81" s="301"/>
      <c r="P81" s="301"/>
      <c r="Q81" s="301"/>
      <c r="R81" s="301"/>
      <c r="S81" s="466"/>
      <c r="T81" s="307" t="s">
        <v>225</v>
      </c>
      <c r="U81" s="421" t="s">
        <v>263</v>
      </c>
      <c r="V81" s="265"/>
    </row>
    <row r="82">
      <c r="A82" s="37"/>
      <c r="B82" s="308"/>
      <c r="C82" s="309">
        <v>1.0</v>
      </c>
      <c r="D82" s="382" t="s">
        <v>167</v>
      </c>
      <c r="E82" s="259">
        <v>16.0</v>
      </c>
      <c r="F82" s="312">
        <v>50.0</v>
      </c>
      <c r="G82" s="375"/>
      <c r="H82" s="259">
        <v>20.0</v>
      </c>
      <c r="I82" s="375">
        <v>50.0</v>
      </c>
      <c r="J82" s="316"/>
      <c r="K82" s="316">
        <v>2.0</v>
      </c>
      <c r="L82" s="222" t="s">
        <v>134</v>
      </c>
      <c r="M82" s="315" t="s">
        <v>124</v>
      </c>
      <c r="N82" s="270"/>
      <c r="O82" s="316"/>
      <c r="P82" s="316"/>
      <c r="Q82" s="222"/>
      <c r="R82" s="316"/>
      <c r="S82" s="316"/>
      <c r="T82" s="467" t="str">
        <f t="shared" ref="T82:T85" si="7">(E82*F82)+(H82*I82)+(K82*L82)+(N82*O82)+(Q82*R82)</f>
        <v>#VALUE!</v>
      </c>
      <c r="U82" s="422"/>
      <c r="V82" s="265"/>
    </row>
    <row r="83">
      <c r="A83" s="37"/>
      <c r="B83" s="308"/>
      <c r="C83" s="330">
        <v>2.0</v>
      </c>
      <c r="D83" s="358" t="s">
        <v>169</v>
      </c>
      <c r="E83" s="423">
        <v>16.0</v>
      </c>
      <c r="F83" s="333">
        <v>15.0</v>
      </c>
      <c r="G83" s="379"/>
      <c r="H83" s="423">
        <v>18.0</v>
      </c>
      <c r="I83" s="379">
        <v>15.0</v>
      </c>
      <c r="J83" s="338"/>
      <c r="K83" s="338" t="s">
        <v>78</v>
      </c>
      <c r="L83" s="436" t="s">
        <v>134</v>
      </c>
      <c r="M83" s="337" t="s">
        <v>73</v>
      </c>
      <c r="N83" s="25"/>
      <c r="O83" s="338"/>
      <c r="P83" s="338"/>
      <c r="Q83" s="436"/>
      <c r="R83" s="338"/>
      <c r="S83" s="338"/>
      <c r="T83" s="467" t="str">
        <f t="shared" si="7"/>
        <v>#VALUE!</v>
      </c>
      <c r="U83" s="422"/>
      <c r="V83" s="265"/>
    </row>
    <row r="84">
      <c r="A84" s="37"/>
      <c r="B84" s="308"/>
      <c r="C84" s="309">
        <v>3.0</v>
      </c>
      <c r="D84" s="360" t="s">
        <v>170</v>
      </c>
      <c r="E84" s="259">
        <v>8.0</v>
      </c>
      <c r="F84" s="342">
        <v>80.0</v>
      </c>
      <c r="G84" s="383"/>
      <c r="H84" s="259">
        <v>8.0</v>
      </c>
      <c r="I84" s="383">
        <v>80.0</v>
      </c>
      <c r="J84" s="346"/>
      <c r="K84" s="346">
        <v>2.0</v>
      </c>
      <c r="L84" s="209">
        <v>45510.0</v>
      </c>
      <c r="M84" s="346"/>
      <c r="N84" s="318"/>
      <c r="O84" s="346"/>
      <c r="P84" s="346"/>
      <c r="Q84" s="209"/>
      <c r="R84" s="346"/>
      <c r="S84" s="346"/>
      <c r="T84" s="319">
        <f t="shared" si="7"/>
        <v>92300</v>
      </c>
      <c r="U84" s="422"/>
      <c r="V84" s="265"/>
    </row>
    <row r="85">
      <c r="A85" s="37"/>
      <c r="B85" s="308"/>
      <c r="C85" s="330">
        <v>4.0</v>
      </c>
      <c r="D85" s="358" t="s">
        <v>171</v>
      </c>
      <c r="E85" s="423">
        <v>10.0</v>
      </c>
      <c r="F85" s="333">
        <v>150.0</v>
      </c>
      <c r="G85" s="379"/>
      <c r="H85" s="423">
        <v>10.0</v>
      </c>
      <c r="I85" s="379">
        <v>150.0</v>
      </c>
      <c r="J85" s="338"/>
      <c r="K85" s="338">
        <v>2.0</v>
      </c>
      <c r="L85" s="459">
        <v>45573.0</v>
      </c>
      <c r="M85" s="338"/>
      <c r="N85" s="336"/>
      <c r="O85" s="338"/>
      <c r="P85" s="338"/>
      <c r="Q85" s="459"/>
      <c r="R85" s="338"/>
      <c r="S85" s="338"/>
      <c r="T85" s="319">
        <f t="shared" si="7"/>
        <v>94146</v>
      </c>
      <c r="U85" s="422"/>
      <c r="V85" s="265"/>
    </row>
    <row r="86">
      <c r="A86" s="37"/>
      <c r="B86" s="308"/>
      <c r="C86" s="309">
        <v>5.0</v>
      </c>
      <c r="D86" s="382" t="s">
        <v>172</v>
      </c>
      <c r="E86" s="244">
        <v>12.0</v>
      </c>
      <c r="F86" s="342">
        <v>70.0</v>
      </c>
      <c r="G86" s="383"/>
      <c r="H86" s="244">
        <v>14.0</v>
      </c>
      <c r="I86" s="383">
        <v>70.0</v>
      </c>
      <c r="J86" s="346"/>
      <c r="K86" s="346" t="s">
        <v>78</v>
      </c>
      <c r="L86" s="239">
        <v>45636.0</v>
      </c>
      <c r="M86" s="345" t="s">
        <v>73</v>
      </c>
      <c r="N86" s="25"/>
      <c r="O86" s="346"/>
      <c r="P86" s="346"/>
      <c r="Q86" s="239"/>
      <c r="R86" s="346"/>
      <c r="S86" s="346"/>
      <c r="T86" s="467" t="str">
        <f t="shared" ref="T86:T87" si="8">(E86*F86)+(H86*I86)+(K86*L86)+(N86*O86)+(#REF!*R86)</f>
        <v>#VALUE!</v>
      </c>
      <c r="U86" s="422"/>
      <c r="V86" s="265"/>
    </row>
    <row r="87">
      <c r="A87" s="37"/>
      <c r="B87" s="308"/>
      <c r="C87" s="330">
        <v>6.0</v>
      </c>
      <c r="D87" s="358" t="s">
        <v>174</v>
      </c>
      <c r="E87" s="423">
        <v>12.0</v>
      </c>
      <c r="F87" s="333">
        <v>22.5</v>
      </c>
      <c r="G87" s="379"/>
      <c r="H87" s="423">
        <v>10.0</v>
      </c>
      <c r="I87" s="379">
        <v>22.5</v>
      </c>
      <c r="J87" s="338"/>
      <c r="K87" s="338">
        <v>2.0</v>
      </c>
      <c r="L87" s="424">
        <v>45999.0</v>
      </c>
      <c r="M87" s="338"/>
      <c r="N87" s="336"/>
      <c r="O87" s="338"/>
      <c r="P87" s="338"/>
      <c r="Q87" s="424"/>
      <c r="R87" s="338"/>
      <c r="S87" s="338"/>
      <c r="T87" s="319" t="str">
        <f t="shared" si="8"/>
        <v>#REF!</v>
      </c>
      <c r="U87" s="422"/>
      <c r="V87" s="265"/>
    </row>
    <row r="88" ht="27.0" customHeight="1">
      <c r="A88" s="37"/>
      <c r="B88" s="368"/>
      <c r="C88" s="368">
        <v>7.0</v>
      </c>
      <c r="D88" s="265"/>
      <c r="E88" s="265"/>
      <c r="F88" s="265"/>
      <c r="G88" s="265"/>
      <c r="H88" s="265"/>
      <c r="I88" s="292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</row>
    <row r="89">
      <c r="A89" s="37"/>
      <c r="B89" s="265"/>
      <c r="C89" s="294" t="s">
        <v>209</v>
      </c>
      <c r="D89" s="295"/>
      <c r="E89" s="296"/>
      <c r="F89" s="297"/>
      <c r="G89" s="297"/>
      <c r="H89" s="297"/>
      <c r="I89" s="297"/>
      <c r="J89" s="297"/>
      <c r="K89" s="297"/>
      <c r="L89" s="297"/>
      <c r="M89" s="282"/>
      <c r="N89" s="298" t="s">
        <v>211</v>
      </c>
      <c r="O89" s="268"/>
      <c r="P89" s="57"/>
      <c r="Q89" s="286"/>
      <c r="R89" s="268"/>
      <c r="S89" s="57"/>
      <c r="T89" s="292"/>
      <c r="U89" s="265"/>
      <c r="V89" s="265"/>
    </row>
    <row r="90">
      <c r="A90" s="37"/>
      <c r="B90" s="265"/>
      <c r="C90" s="301" t="s">
        <v>214</v>
      </c>
      <c r="D90" s="372"/>
      <c r="E90" s="303" t="s">
        <v>215</v>
      </c>
      <c r="F90" s="22"/>
      <c r="G90" s="28"/>
      <c r="H90" s="304" t="s">
        <v>216</v>
      </c>
      <c r="I90" s="297"/>
      <c r="J90" s="282"/>
      <c r="K90" s="304"/>
      <c r="L90" s="297"/>
      <c r="M90" s="282"/>
      <c r="N90" s="304"/>
      <c r="O90" s="297"/>
      <c r="P90" s="282"/>
      <c r="Q90" s="304"/>
      <c r="R90" s="297"/>
      <c r="S90" s="282"/>
      <c r="T90" s="265"/>
      <c r="U90" s="265"/>
      <c r="V90" s="265"/>
    </row>
    <row r="91">
      <c r="A91" s="37"/>
      <c r="B91" s="458" t="s">
        <v>255</v>
      </c>
      <c r="C91" s="306" t="s">
        <v>221</v>
      </c>
      <c r="D91" s="306" t="s">
        <v>222</v>
      </c>
      <c r="E91" s="301" t="s">
        <v>223</v>
      </c>
      <c r="F91" s="301" t="s">
        <v>224</v>
      </c>
      <c r="G91" s="301" t="s">
        <v>66</v>
      </c>
      <c r="H91" s="301" t="s">
        <v>223</v>
      </c>
      <c r="I91" s="301" t="s">
        <v>224</v>
      </c>
      <c r="J91" s="301" t="s">
        <v>66</v>
      </c>
      <c r="K91" s="301" t="s">
        <v>268</v>
      </c>
      <c r="L91" s="301" t="s">
        <v>269</v>
      </c>
      <c r="M91" s="468" t="s">
        <v>270</v>
      </c>
      <c r="N91" s="282"/>
      <c r="O91" s="301" t="s">
        <v>271</v>
      </c>
      <c r="P91" s="301"/>
      <c r="Q91" s="301"/>
      <c r="R91" s="301"/>
      <c r="S91" s="301"/>
      <c r="T91" s="307" t="s">
        <v>225</v>
      </c>
      <c r="U91" s="421" t="s">
        <v>263</v>
      </c>
      <c r="V91" s="265"/>
    </row>
    <row r="92">
      <c r="A92" s="37"/>
      <c r="B92" s="308"/>
      <c r="C92" s="309">
        <v>1.0</v>
      </c>
      <c r="D92" s="373" t="s">
        <v>127</v>
      </c>
      <c r="E92" s="256">
        <v>16.0</v>
      </c>
      <c r="F92" s="312">
        <v>10.0</v>
      </c>
      <c r="G92" s="318"/>
      <c r="H92" s="313">
        <v>14.0</v>
      </c>
      <c r="I92" s="312">
        <v>7.0</v>
      </c>
      <c r="J92" s="316"/>
      <c r="K92" s="316"/>
      <c r="L92" s="209"/>
      <c r="M92" s="100"/>
      <c r="O92" s="316"/>
      <c r="P92" s="316"/>
      <c r="Q92" s="222"/>
      <c r="R92" s="316"/>
      <c r="S92" s="316"/>
      <c r="T92" s="319" t="str">
        <f>(E92*F92)+(H92*I92)+(O92*L92)+(N92*#REF!)+(#REF!*R92)</f>
        <v>#REF!</v>
      </c>
      <c r="U92" s="422"/>
      <c r="V92" s="265"/>
    </row>
    <row r="93">
      <c r="A93" s="37"/>
      <c r="B93" s="308"/>
      <c r="C93" s="330">
        <v>2.0</v>
      </c>
      <c r="D93" s="377" t="s">
        <v>178</v>
      </c>
      <c r="E93" s="423">
        <v>8.0</v>
      </c>
      <c r="F93" s="333">
        <v>40.0</v>
      </c>
      <c r="G93" s="336"/>
      <c r="H93" s="334">
        <v>7.0</v>
      </c>
      <c r="I93" s="333">
        <v>45.0</v>
      </c>
      <c r="J93" s="338"/>
      <c r="K93" s="338"/>
      <c r="L93" s="469"/>
      <c r="M93" s="462"/>
      <c r="N93" s="459"/>
      <c r="O93" s="338"/>
      <c r="P93" s="338"/>
      <c r="Q93" s="436"/>
      <c r="R93" s="338"/>
      <c r="S93" s="338"/>
      <c r="T93" s="319" t="str">
        <f t="shared" ref="T93:T94" si="9">(E93*F93)+(H93*I93)+(O93*L93)+(N93*#REF!)+(Q93*R93)</f>
        <v>#REF!</v>
      </c>
      <c r="U93" s="422"/>
      <c r="V93" s="265"/>
    </row>
    <row r="94">
      <c r="A94" s="37"/>
      <c r="B94" s="308"/>
      <c r="C94" s="309">
        <v>3.0</v>
      </c>
      <c r="D94" s="382" t="s">
        <v>179</v>
      </c>
      <c r="E94" s="259">
        <v>8.0</v>
      </c>
      <c r="F94" s="383">
        <v>60.0</v>
      </c>
      <c r="G94" s="318"/>
      <c r="H94" s="343">
        <v>7.0</v>
      </c>
      <c r="I94" s="342">
        <v>60.0</v>
      </c>
      <c r="J94" s="346"/>
      <c r="K94" s="346"/>
      <c r="L94" s="209"/>
      <c r="M94" s="218"/>
      <c r="N94" s="209"/>
      <c r="O94" s="346"/>
      <c r="P94" s="346"/>
      <c r="Q94" s="209"/>
      <c r="R94" s="346"/>
      <c r="S94" s="346"/>
      <c r="T94" s="319" t="str">
        <f t="shared" si="9"/>
        <v>#REF!</v>
      </c>
      <c r="U94" s="422"/>
      <c r="V94" s="265"/>
    </row>
    <row r="95">
      <c r="A95" s="37"/>
      <c r="B95" s="308"/>
      <c r="C95" s="330">
        <v>4.0</v>
      </c>
      <c r="D95" s="377" t="s">
        <v>180</v>
      </c>
      <c r="E95" s="423">
        <v>10.0</v>
      </c>
      <c r="F95" s="379">
        <v>30.0</v>
      </c>
      <c r="G95" s="336"/>
      <c r="H95" s="334">
        <v>10.0</v>
      </c>
      <c r="I95" s="333">
        <v>30.0</v>
      </c>
      <c r="J95" s="338"/>
      <c r="K95" s="338"/>
      <c r="L95" s="336"/>
      <c r="M95" s="455"/>
      <c r="O95" s="338"/>
      <c r="P95" s="338"/>
      <c r="Q95" s="459"/>
      <c r="R95" s="338"/>
      <c r="S95" s="338"/>
      <c r="T95" s="319" t="str">
        <f t="shared" ref="T95:T96" si="10">(E95*F95)+(H95*I95)+(O95*L95)+(N95*#REF!)+(#REF!*R95)</f>
        <v>#REF!</v>
      </c>
      <c r="U95" s="422"/>
      <c r="V95" s="265"/>
    </row>
    <row r="96">
      <c r="A96" s="37"/>
      <c r="B96" s="308"/>
      <c r="C96" s="309">
        <v>5.0</v>
      </c>
      <c r="D96" s="382" t="s">
        <v>141</v>
      </c>
      <c r="E96" s="259">
        <v>12.0</v>
      </c>
      <c r="F96" s="383">
        <v>15.0</v>
      </c>
      <c r="G96" s="318"/>
      <c r="H96" s="343">
        <v>9.0</v>
      </c>
      <c r="I96" s="342">
        <v>15.0</v>
      </c>
      <c r="J96" s="346"/>
      <c r="K96" s="346"/>
      <c r="L96" s="222"/>
      <c r="M96" s="100"/>
      <c r="O96" s="346"/>
      <c r="P96" s="346"/>
      <c r="Q96" s="239"/>
      <c r="R96" s="346"/>
      <c r="S96" s="346"/>
      <c r="T96" s="319" t="str">
        <f t="shared" si="10"/>
        <v>#REF!</v>
      </c>
      <c r="U96" s="422"/>
      <c r="V96" s="265"/>
    </row>
    <row r="97">
      <c r="A97" s="37"/>
      <c r="B97" s="308"/>
      <c r="C97" s="330">
        <v>6.0</v>
      </c>
      <c r="D97" s="331" t="s">
        <v>139</v>
      </c>
      <c r="E97" s="423">
        <v>12.0</v>
      </c>
      <c r="F97" s="379">
        <v>30.0</v>
      </c>
      <c r="G97" s="336"/>
      <c r="H97" s="334">
        <v>14.0</v>
      </c>
      <c r="I97" s="333">
        <v>30.0</v>
      </c>
      <c r="J97" s="338"/>
      <c r="K97" s="338"/>
      <c r="L97" s="469"/>
      <c r="M97" s="462"/>
      <c r="N97" s="459"/>
      <c r="O97" s="338"/>
      <c r="P97" s="338"/>
      <c r="Q97" s="424"/>
      <c r="R97" s="338"/>
      <c r="S97" s="338"/>
      <c r="T97" s="319" t="str">
        <f>(E97*F97)+(H97*I97)+(O97*L97)+(N97*#REF!)+(Q97*R97)</f>
        <v>#REF!</v>
      </c>
      <c r="U97" s="422"/>
      <c r="V97" s="265"/>
    </row>
    <row r="98" ht="37.5" customHeight="1">
      <c r="A98" s="37"/>
      <c r="B98" s="308"/>
      <c r="C98" s="309">
        <v>7.0</v>
      </c>
      <c r="D98" s="382" t="s">
        <v>88</v>
      </c>
      <c r="E98" s="259">
        <v>12.0</v>
      </c>
      <c r="F98" s="383">
        <v>8.0</v>
      </c>
      <c r="G98" s="318"/>
      <c r="H98" s="343">
        <v>11.0</v>
      </c>
      <c r="I98" s="342">
        <v>8.0</v>
      </c>
      <c r="J98" s="318"/>
      <c r="K98" s="342"/>
      <c r="L98" s="342"/>
      <c r="M98" s="343"/>
      <c r="N98" s="25"/>
      <c r="O98" s="342"/>
      <c r="P98" s="342"/>
      <c r="Q98" s="342"/>
      <c r="R98" s="342"/>
      <c r="S98" s="342"/>
      <c r="T98" s="319" t="str">
        <f>(E98*F98)+(H98*I98)+(O98*L98)+(N98*#REF!)+(#REF!*R98)</f>
        <v>#REF!</v>
      </c>
      <c r="U98" s="422"/>
      <c r="V98" s="265"/>
    </row>
    <row r="99">
      <c r="A99" s="37"/>
      <c r="B99" s="368"/>
      <c r="C99" s="265"/>
      <c r="D99" s="265"/>
      <c r="E99" s="265"/>
      <c r="F99" s="265"/>
      <c r="G99" s="265"/>
      <c r="H99" s="265"/>
      <c r="I99" s="265"/>
      <c r="J99" s="265"/>
      <c r="K99" s="292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</row>
    <row r="100">
      <c r="A100" s="37"/>
      <c r="B100" s="368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</row>
    <row r="101">
      <c r="A101" s="37"/>
      <c r="B101" s="265"/>
      <c r="C101" s="294" t="s">
        <v>209</v>
      </c>
      <c r="D101" s="295"/>
      <c r="E101" s="296"/>
      <c r="F101" s="297"/>
      <c r="G101" s="297"/>
      <c r="H101" s="297"/>
      <c r="I101" s="297"/>
      <c r="J101" s="297"/>
      <c r="K101" s="297"/>
      <c r="L101" s="297"/>
      <c r="M101" s="282"/>
      <c r="N101" s="298" t="s">
        <v>211</v>
      </c>
      <c r="O101" s="268"/>
      <c r="P101" s="57"/>
      <c r="Q101" s="286"/>
      <c r="R101" s="268"/>
      <c r="S101" s="57"/>
      <c r="T101" s="292"/>
      <c r="U101" s="265"/>
      <c r="V101" s="265"/>
    </row>
    <row r="102">
      <c r="A102" s="37"/>
      <c r="B102" s="265"/>
      <c r="C102" s="301" t="s">
        <v>214</v>
      </c>
      <c r="D102" s="372"/>
      <c r="E102" s="303" t="s">
        <v>215</v>
      </c>
      <c r="F102" s="22"/>
      <c r="G102" s="28"/>
      <c r="H102" s="304" t="s">
        <v>216</v>
      </c>
      <c r="I102" s="297"/>
      <c r="J102" s="282"/>
      <c r="K102" s="304" t="s">
        <v>217</v>
      </c>
      <c r="L102" s="297"/>
      <c r="M102" s="282"/>
      <c r="N102" s="304" t="s">
        <v>218</v>
      </c>
      <c r="O102" s="297"/>
      <c r="P102" s="282"/>
      <c r="Q102" s="304" t="s">
        <v>219</v>
      </c>
      <c r="R102" s="297"/>
      <c r="S102" s="282"/>
      <c r="T102" s="265"/>
      <c r="U102" s="265"/>
      <c r="V102" s="265"/>
    </row>
    <row r="103">
      <c r="A103" s="37"/>
      <c r="B103" s="458" t="s">
        <v>256</v>
      </c>
      <c r="C103" s="306" t="s">
        <v>221</v>
      </c>
      <c r="D103" s="306" t="s">
        <v>222</v>
      </c>
      <c r="E103" s="301" t="s">
        <v>223</v>
      </c>
      <c r="F103" s="301" t="s">
        <v>224</v>
      </c>
      <c r="G103" s="301" t="s">
        <v>66</v>
      </c>
      <c r="H103" s="301" t="s">
        <v>223</v>
      </c>
      <c r="I103" s="301" t="s">
        <v>224</v>
      </c>
      <c r="J103" s="301" t="s">
        <v>66</v>
      </c>
      <c r="K103" s="301" t="s">
        <v>223</v>
      </c>
      <c r="L103" s="301" t="s">
        <v>224</v>
      </c>
      <c r="M103" s="301" t="s">
        <v>66</v>
      </c>
      <c r="N103" s="301" t="s">
        <v>223</v>
      </c>
      <c r="O103" s="301" t="s">
        <v>224</v>
      </c>
      <c r="P103" s="301" t="s">
        <v>66</v>
      </c>
      <c r="Q103" s="301" t="s">
        <v>223</v>
      </c>
      <c r="R103" s="301" t="s">
        <v>224</v>
      </c>
      <c r="S103" s="301" t="s">
        <v>66</v>
      </c>
      <c r="T103" s="307" t="s">
        <v>225</v>
      </c>
      <c r="U103" s="421" t="s">
        <v>263</v>
      </c>
      <c r="V103" s="265"/>
    </row>
    <row r="104">
      <c r="A104" s="37"/>
      <c r="B104" s="308"/>
      <c r="C104" s="309">
        <v>1.0</v>
      </c>
      <c r="D104" s="373"/>
      <c r="E104" s="259"/>
      <c r="F104" s="375"/>
      <c r="G104" s="384"/>
      <c r="H104" s="376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19">
        <f t="shared" ref="T104:T110" si="11">(E104*F104)+(H104*I104)+(K104*L104)+(N104*O104)+(Q104*R104)</f>
        <v>0</v>
      </c>
      <c r="U104" s="422"/>
      <c r="V104" s="265"/>
    </row>
    <row r="105">
      <c r="A105" s="37"/>
      <c r="B105" s="308"/>
      <c r="C105" s="330">
        <v>2.0</v>
      </c>
      <c r="D105" s="377"/>
      <c r="E105" s="423"/>
      <c r="F105" s="379"/>
      <c r="G105" s="380"/>
      <c r="H105" s="381"/>
      <c r="I105" s="379"/>
      <c r="J105" s="423"/>
      <c r="K105" s="379"/>
      <c r="L105" s="380"/>
      <c r="M105" s="381"/>
      <c r="N105" s="379"/>
      <c r="O105" s="379"/>
      <c r="P105" s="379"/>
      <c r="Q105" s="379"/>
      <c r="R105" s="379"/>
      <c r="S105" s="379"/>
      <c r="T105" s="319">
        <f t="shared" si="11"/>
        <v>0</v>
      </c>
      <c r="U105" s="422"/>
      <c r="V105" s="265"/>
    </row>
    <row r="106">
      <c r="A106" s="37"/>
      <c r="B106" s="308"/>
      <c r="C106" s="309">
        <v>3.0</v>
      </c>
      <c r="D106" s="382"/>
      <c r="E106" s="259"/>
      <c r="F106" s="383"/>
      <c r="H106" s="385"/>
      <c r="I106" s="383"/>
      <c r="J106" s="318"/>
      <c r="K106" s="383"/>
      <c r="L106" s="383"/>
      <c r="M106" s="383"/>
      <c r="N106" s="383"/>
      <c r="O106" s="383"/>
      <c r="P106" s="383"/>
      <c r="Q106" s="383"/>
      <c r="R106" s="383"/>
      <c r="S106" s="383"/>
      <c r="T106" s="319">
        <f t="shared" si="11"/>
        <v>0</v>
      </c>
      <c r="U106" s="422"/>
      <c r="V106" s="265"/>
    </row>
    <row r="107">
      <c r="A107" s="37"/>
      <c r="B107" s="308"/>
      <c r="C107" s="330">
        <v>4.0</v>
      </c>
      <c r="D107" s="377"/>
      <c r="E107" s="423"/>
      <c r="F107" s="379"/>
      <c r="G107" s="380"/>
      <c r="H107" s="381"/>
      <c r="I107" s="379"/>
      <c r="J107" s="336"/>
      <c r="K107" s="379"/>
      <c r="L107" s="379"/>
      <c r="M107" s="379"/>
      <c r="N107" s="379"/>
      <c r="O107" s="379"/>
      <c r="P107" s="379"/>
      <c r="Q107" s="379"/>
      <c r="R107" s="379"/>
      <c r="S107" s="379"/>
      <c r="T107" s="319">
        <f t="shared" si="11"/>
        <v>0</v>
      </c>
      <c r="U107" s="422"/>
      <c r="V107" s="265"/>
    </row>
    <row r="108">
      <c r="A108" s="37"/>
      <c r="B108" s="308"/>
      <c r="C108" s="309">
        <v>5.0</v>
      </c>
      <c r="D108" s="382"/>
      <c r="E108" s="244"/>
      <c r="F108" s="383"/>
      <c r="G108" s="384"/>
      <c r="H108" s="385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19">
        <f t="shared" si="11"/>
        <v>0</v>
      </c>
      <c r="U108" s="422"/>
      <c r="V108" s="265"/>
    </row>
    <row r="109">
      <c r="A109" s="37"/>
      <c r="B109" s="308"/>
      <c r="C109" s="330">
        <v>6.0</v>
      </c>
      <c r="D109" s="331"/>
      <c r="E109" s="423"/>
      <c r="F109" s="379"/>
      <c r="G109" s="380"/>
      <c r="H109" s="381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19">
        <f t="shared" si="11"/>
        <v>0</v>
      </c>
      <c r="U109" s="422"/>
      <c r="V109" s="265"/>
    </row>
    <row r="110" ht="36.75" customHeight="1">
      <c r="A110" s="37"/>
      <c r="B110" s="308"/>
      <c r="C110" s="309">
        <v>7.0</v>
      </c>
      <c r="D110" s="382"/>
      <c r="E110" s="259"/>
      <c r="F110" s="342"/>
      <c r="G110" s="318"/>
      <c r="H110" s="343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19">
        <f t="shared" si="11"/>
        <v>0</v>
      </c>
      <c r="U110" s="422"/>
      <c r="V110" s="265"/>
    </row>
    <row r="111">
      <c r="A111" s="37"/>
      <c r="B111" s="368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92"/>
      <c r="R111" s="265"/>
      <c r="S111" s="265"/>
      <c r="T111" s="265"/>
      <c r="U111" s="265"/>
      <c r="V111" s="265"/>
    </row>
    <row r="112">
      <c r="A112" s="37"/>
      <c r="B112" s="265"/>
      <c r="C112" s="294" t="s">
        <v>209</v>
      </c>
      <c r="D112" s="295"/>
      <c r="E112" s="296"/>
      <c r="F112" s="297"/>
      <c r="G112" s="297"/>
      <c r="H112" s="297"/>
      <c r="I112" s="297"/>
      <c r="J112" s="297"/>
      <c r="K112" s="297"/>
      <c r="L112" s="297"/>
      <c r="M112" s="282"/>
      <c r="N112" s="298" t="s">
        <v>211</v>
      </c>
      <c r="O112" s="268"/>
      <c r="P112" s="57"/>
      <c r="Q112" s="286"/>
      <c r="R112" s="268"/>
      <c r="S112" s="57"/>
      <c r="T112" s="292"/>
      <c r="U112" s="265"/>
      <c r="V112" s="265"/>
    </row>
    <row r="113">
      <c r="A113" s="37"/>
      <c r="B113" s="265"/>
      <c r="C113" s="301" t="s">
        <v>214</v>
      </c>
      <c r="D113" s="372"/>
      <c r="E113" s="303" t="s">
        <v>215</v>
      </c>
      <c r="F113" s="22"/>
      <c r="G113" s="28"/>
      <c r="H113" s="304" t="s">
        <v>216</v>
      </c>
      <c r="I113" s="297"/>
      <c r="J113" s="282"/>
      <c r="K113" s="304" t="s">
        <v>217</v>
      </c>
      <c r="L113" s="297"/>
      <c r="M113" s="282"/>
      <c r="N113" s="304"/>
      <c r="O113" s="297"/>
      <c r="P113" s="282"/>
      <c r="Q113" s="304"/>
      <c r="R113" s="297"/>
      <c r="S113" s="282"/>
      <c r="T113" s="265"/>
      <c r="U113" s="265"/>
      <c r="V113" s="265"/>
    </row>
    <row r="114">
      <c r="A114" s="37"/>
      <c r="B114" s="470" t="s">
        <v>258</v>
      </c>
      <c r="C114" s="306" t="s">
        <v>221</v>
      </c>
      <c r="D114" s="306" t="s">
        <v>222</v>
      </c>
      <c r="E114" s="301" t="s">
        <v>223</v>
      </c>
      <c r="F114" s="301" t="s">
        <v>224</v>
      </c>
      <c r="G114" s="301" t="s">
        <v>66</v>
      </c>
      <c r="H114" s="301" t="s">
        <v>223</v>
      </c>
      <c r="I114" s="301" t="s">
        <v>224</v>
      </c>
      <c r="J114" s="301" t="s">
        <v>66</v>
      </c>
      <c r="K114" s="301" t="s">
        <v>223</v>
      </c>
      <c r="L114" s="301" t="s">
        <v>224</v>
      </c>
      <c r="M114" s="301" t="s">
        <v>66</v>
      </c>
      <c r="N114" s="301" t="s">
        <v>268</v>
      </c>
      <c r="O114" s="301" t="s">
        <v>269</v>
      </c>
      <c r="P114" s="471" t="s">
        <v>270</v>
      </c>
      <c r="Q114" s="297"/>
      <c r="R114" s="282"/>
      <c r="S114" s="301" t="s">
        <v>271</v>
      </c>
      <c r="T114" s="307" t="s">
        <v>225</v>
      </c>
      <c r="U114" s="421" t="s">
        <v>263</v>
      </c>
      <c r="V114" s="265"/>
    </row>
    <row r="115">
      <c r="A115" s="37"/>
      <c r="B115" s="308"/>
      <c r="C115" s="309">
        <v>1.0</v>
      </c>
      <c r="D115" s="373" t="s">
        <v>167</v>
      </c>
      <c r="E115" s="374">
        <v>12.0</v>
      </c>
      <c r="F115" s="375">
        <v>55.0</v>
      </c>
      <c r="G115" s="384"/>
      <c r="H115" s="376">
        <v>12.0</v>
      </c>
      <c r="I115" s="375">
        <v>55.0</v>
      </c>
      <c r="J115" s="317"/>
      <c r="K115" s="311"/>
      <c r="L115" s="312"/>
      <c r="M115" s="317"/>
      <c r="N115" s="317">
        <v>2.0</v>
      </c>
      <c r="O115" s="209">
        <v>45634.0</v>
      </c>
      <c r="P115" s="100" t="s">
        <v>124</v>
      </c>
      <c r="R115" s="25"/>
      <c r="S115" s="472">
        <v>3101.0</v>
      </c>
      <c r="T115" s="467">
        <f t="shared" ref="T115:T120" si="12">(E115*F115)+(H115*I115)+(K115*L115)</f>
        <v>1320</v>
      </c>
      <c r="U115" s="422"/>
      <c r="V115" s="265"/>
    </row>
    <row r="116">
      <c r="A116" s="37"/>
      <c r="B116" s="308"/>
      <c r="C116" s="330">
        <v>2.0</v>
      </c>
      <c r="D116" s="377" t="s">
        <v>189</v>
      </c>
      <c r="E116" s="378">
        <v>12.0</v>
      </c>
      <c r="F116" s="379">
        <v>30.0</v>
      </c>
      <c r="G116" s="380"/>
      <c r="H116" s="381">
        <v>12.0</v>
      </c>
      <c r="I116" s="379">
        <v>30.0</v>
      </c>
      <c r="J116" s="339"/>
      <c r="K116" s="381">
        <v>14.0</v>
      </c>
      <c r="L116" s="379">
        <v>30.0</v>
      </c>
      <c r="M116" s="339"/>
      <c r="N116" s="339" t="s">
        <v>72</v>
      </c>
      <c r="O116" s="440">
        <v>46001.0</v>
      </c>
      <c r="P116" s="336" t="s">
        <v>97</v>
      </c>
      <c r="R116" s="25"/>
      <c r="S116" s="339">
        <v>3101.0</v>
      </c>
      <c r="T116" s="467">
        <f t="shared" si="12"/>
        <v>1140</v>
      </c>
      <c r="U116" s="422"/>
      <c r="V116" s="265"/>
    </row>
    <row r="117">
      <c r="A117" s="37"/>
      <c r="B117" s="308"/>
      <c r="C117" s="309">
        <v>3.0</v>
      </c>
      <c r="D117" s="382" t="s">
        <v>190</v>
      </c>
      <c r="E117" s="374">
        <v>12.0</v>
      </c>
      <c r="F117" s="383">
        <v>45.0</v>
      </c>
      <c r="G117" s="384"/>
      <c r="H117" s="385">
        <v>16.0</v>
      </c>
      <c r="I117" s="383">
        <v>45.0</v>
      </c>
      <c r="J117" s="344"/>
      <c r="K117" s="311"/>
      <c r="L117" s="342"/>
      <c r="M117" s="344"/>
      <c r="N117" s="344" t="s">
        <v>78</v>
      </c>
      <c r="O117" s="437" t="s">
        <v>134</v>
      </c>
      <c r="P117" s="100" t="s">
        <v>97</v>
      </c>
      <c r="R117" s="25"/>
      <c r="S117" s="473">
        <v>3001.0</v>
      </c>
      <c r="T117" s="467">
        <f t="shared" si="12"/>
        <v>1260</v>
      </c>
      <c r="U117" s="422"/>
      <c r="V117" s="265"/>
    </row>
    <row r="118">
      <c r="A118" s="37"/>
      <c r="B118" s="308"/>
      <c r="C118" s="330">
        <v>4.0</v>
      </c>
      <c r="D118" s="377" t="s">
        <v>191</v>
      </c>
      <c r="E118" s="378">
        <v>10.0</v>
      </c>
      <c r="F118" s="379">
        <v>120.0</v>
      </c>
      <c r="G118" s="380"/>
      <c r="H118" s="439">
        <v>9.0</v>
      </c>
      <c r="I118" s="379">
        <v>120.0</v>
      </c>
      <c r="J118" s="339"/>
      <c r="K118" s="332"/>
      <c r="L118" s="333"/>
      <c r="M118" s="339"/>
      <c r="N118" s="339">
        <v>2.0</v>
      </c>
      <c r="O118" s="440">
        <v>45938.0</v>
      </c>
      <c r="P118" s="332"/>
      <c r="Q118" s="332"/>
      <c r="R118" s="335"/>
      <c r="S118" s="339">
        <v>3001.0</v>
      </c>
      <c r="T118" s="467">
        <f t="shared" si="12"/>
        <v>2280</v>
      </c>
      <c r="U118" s="422"/>
      <c r="V118" s="265"/>
    </row>
    <row r="119">
      <c r="A119" s="37"/>
      <c r="B119" s="308"/>
      <c r="C119" s="309">
        <v>5.0</v>
      </c>
      <c r="D119" s="382" t="s">
        <v>192</v>
      </c>
      <c r="E119" s="374">
        <v>6.0</v>
      </c>
      <c r="F119" s="383">
        <v>70.0</v>
      </c>
      <c r="G119" s="384"/>
      <c r="H119" s="385">
        <v>8.0</v>
      </c>
      <c r="I119" s="383">
        <v>60.0</v>
      </c>
      <c r="J119" s="344"/>
      <c r="K119" s="311"/>
      <c r="L119" s="342"/>
      <c r="M119" s="344"/>
      <c r="N119" s="344">
        <v>2.0</v>
      </c>
      <c r="O119" s="432">
        <v>45510.0</v>
      </c>
      <c r="P119" s="218"/>
      <c r="R119" s="25"/>
      <c r="S119" s="473"/>
      <c r="T119" s="467">
        <f t="shared" si="12"/>
        <v>900</v>
      </c>
      <c r="U119" s="422"/>
      <c r="V119" s="265"/>
    </row>
    <row r="120">
      <c r="A120" s="37"/>
      <c r="B120" s="361"/>
      <c r="C120" s="330">
        <v>6.0</v>
      </c>
      <c r="D120" s="331" t="s">
        <v>267</v>
      </c>
      <c r="E120" s="378">
        <v>12.0</v>
      </c>
      <c r="F120" s="379">
        <v>40.0</v>
      </c>
      <c r="G120" s="380"/>
      <c r="H120" s="381">
        <v>8.0</v>
      </c>
      <c r="I120" s="379">
        <v>40.0</v>
      </c>
      <c r="J120" s="339"/>
      <c r="K120" s="332"/>
      <c r="L120" s="338"/>
      <c r="M120" s="339"/>
      <c r="N120" s="339" t="s">
        <v>113</v>
      </c>
      <c r="O120" s="474">
        <v>45999.0</v>
      </c>
      <c r="P120" s="337" t="s">
        <v>97</v>
      </c>
      <c r="R120" s="25"/>
      <c r="S120" s="338">
        <v>3202.0</v>
      </c>
      <c r="T120" s="467">
        <f t="shared" si="12"/>
        <v>800</v>
      </c>
      <c r="U120" s="422"/>
      <c r="V120" s="265"/>
    </row>
    <row r="121" ht="30.75" customHeight="1">
      <c r="A121" s="37"/>
      <c r="B121" s="368"/>
      <c r="C121" s="309">
        <v>7.0</v>
      </c>
      <c r="D121" s="265"/>
      <c r="E121" s="265"/>
      <c r="F121" s="265"/>
      <c r="G121" s="265"/>
      <c r="H121" s="265"/>
      <c r="I121" s="265"/>
      <c r="J121" s="292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</row>
    <row r="122">
      <c r="A122" s="37"/>
      <c r="B122" s="265"/>
      <c r="C122" s="294" t="s">
        <v>209</v>
      </c>
      <c r="D122" s="295"/>
      <c r="E122" s="296" t="s">
        <v>210</v>
      </c>
      <c r="F122" s="297"/>
      <c r="G122" s="297"/>
      <c r="H122" s="297"/>
      <c r="I122" s="297"/>
      <c r="J122" s="297"/>
      <c r="K122" s="297"/>
      <c r="L122" s="297"/>
      <c r="M122" s="282"/>
      <c r="N122" s="298" t="s">
        <v>211</v>
      </c>
      <c r="O122" s="268"/>
      <c r="P122" s="57"/>
      <c r="Q122" s="286"/>
      <c r="R122" s="268"/>
      <c r="S122" s="57"/>
      <c r="T122" s="292"/>
      <c r="U122" s="265"/>
      <c r="V122" s="265"/>
    </row>
    <row r="123">
      <c r="A123" s="37"/>
      <c r="B123" s="265"/>
      <c r="C123" s="301" t="s">
        <v>214</v>
      </c>
      <c r="D123" s="372"/>
      <c r="E123" s="303" t="s">
        <v>215</v>
      </c>
      <c r="F123" s="22"/>
      <c r="G123" s="28"/>
      <c r="H123" s="304" t="s">
        <v>216</v>
      </c>
      <c r="I123" s="297"/>
      <c r="J123" s="282"/>
      <c r="K123" s="304"/>
      <c r="L123" s="297"/>
      <c r="M123" s="282"/>
      <c r="N123" s="304"/>
      <c r="O123" s="297"/>
      <c r="P123" s="282"/>
      <c r="Q123" s="304"/>
      <c r="R123" s="297"/>
      <c r="S123" s="282"/>
      <c r="T123" s="265"/>
      <c r="U123" s="265"/>
      <c r="V123" s="265"/>
    </row>
    <row r="124">
      <c r="A124" s="37"/>
      <c r="B124" s="456" t="s">
        <v>259</v>
      </c>
      <c r="C124" s="306" t="s">
        <v>221</v>
      </c>
      <c r="D124" s="306" t="s">
        <v>222</v>
      </c>
      <c r="E124" s="301" t="s">
        <v>223</v>
      </c>
      <c r="F124" s="301" t="s">
        <v>224</v>
      </c>
      <c r="G124" s="301" t="s">
        <v>66</v>
      </c>
      <c r="H124" s="301" t="s">
        <v>223</v>
      </c>
      <c r="I124" s="301" t="s">
        <v>224</v>
      </c>
      <c r="J124" s="301" t="s">
        <v>66</v>
      </c>
      <c r="K124" s="301" t="s">
        <v>268</v>
      </c>
      <c r="L124" s="301" t="s">
        <v>269</v>
      </c>
      <c r="M124" s="468" t="s">
        <v>270</v>
      </c>
      <c r="N124" s="297"/>
      <c r="O124" s="282"/>
      <c r="P124" s="301" t="s">
        <v>271</v>
      </c>
      <c r="Q124" s="468"/>
      <c r="R124" s="297"/>
      <c r="S124" s="282"/>
      <c r="T124" s="307" t="s">
        <v>225</v>
      </c>
      <c r="U124" s="421" t="s">
        <v>263</v>
      </c>
      <c r="V124" s="265"/>
    </row>
    <row r="125">
      <c r="A125" s="37"/>
      <c r="B125" s="308"/>
      <c r="C125" s="309">
        <v>1.0</v>
      </c>
      <c r="D125" s="382" t="s">
        <v>167</v>
      </c>
      <c r="E125" s="259">
        <v>16.0</v>
      </c>
      <c r="F125" s="312">
        <v>55.0</v>
      </c>
      <c r="G125" s="375"/>
      <c r="H125" s="259">
        <v>20.0</v>
      </c>
      <c r="I125" s="375">
        <v>50.0</v>
      </c>
      <c r="J125" s="316"/>
      <c r="K125" s="316">
        <v>2.0</v>
      </c>
      <c r="L125" s="222" t="s">
        <v>134</v>
      </c>
      <c r="M125" s="315" t="s">
        <v>124</v>
      </c>
      <c r="N125" s="270"/>
      <c r="O125" s="490"/>
      <c r="P125" s="476"/>
      <c r="Q125" s="477"/>
      <c r="S125" s="25"/>
      <c r="T125" s="467">
        <f t="shared" ref="T125:T131" si="13">(E125*F125)+(H125*I125)</f>
        <v>1880</v>
      </c>
      <c r="U125" s="422"/>
      <c r="V125" s="265"/>
    </row>
    <row r="126">
      <c r="A126" s="37"/>
      <c r="B126" s="308"/>
      <c r="C126" s="330">
        <v>2.0</v>
      </c>
      <c r="D126" s="358" t="s">
        <v>169</v>
      </c>
      <c r="E126" s="423">
        <v>16.0</v>
      </c>
      <c r="F126" s="333">
        <v>15.0</v>
      </c>
      <c r="G126" s="379"/>
      <c r="H126" s="423">
        <v>18.0</v>
      </c>
      <c r="I126" s="379">
        <v>15.0</v>
      </c>
      <c r="J126" s="338"/>
      <c r="K126" s="338" t="s">
        <v>78</v>
      </c>
      <c r="L126" s="436" t="s">
        <v>134</v>
      </c>
      <c r="M126" s="337" t="s">
        <v>73</v>
      </c>
      <c r="N126" s="25"/>
      <c r="O126" s="416"/>
      <c r="P126" s="479"/>
      <c r="Q126" s="480"/>
      <c r="S126" s="25"/>
      <c r="T126" s="467">
        <f t="shared" si="13"/>
        <v>510</v>
      </c>
      <c r="U126" s="422"/>
      <c r="V126" s="265"/>
    </row>
    <row r="127">
      <c r="A127" s="37"/>
      <c r="B127" s="308"/>
      <c r="C127" s="309">
        <v>3.0</v>
      </c>
      <c r="D127" s="360" t="s">
        <v>170</v>
      </c>
      <c r="E127" s="259">
        <v>8.0</v>
      </c>
      <c r="F127" s="342">
        <v>90.0</v>
      </c>
      <c r="G127" s="383"/>
      <c r="H127" s="259">
        <v>8.0</v>
      </c>
      <c r="I127" s="383">
        <v>60.0</v>
      </c>
      <c r="J127" s="346"/>
      <c r="K127" s="346">
        <v>2.0</v>
      </c>
      <c r="L127" s="209">
        <v>45510.0</v>
      </c>
      <c r="M127" s="346"/>
      <c r="N127" s="318"/>
      <c r="O127" s="418"/>
      <c r="P127" s="482"/>
      <c r="Q127" s="228"/>
      <c r="S127" s="25"/>
      <c r="T127" s="467">
        <f t="shared" si="13"/>
        <v>1200</v>
      </c>
      <c r="U127" s="422"/>
      <c r="V127" s="265"/>
    </row>
    <row r="128">
      <c r="A128" s="37"/>
      <c r="B128" s="308"/>
      <c r="C128" s="330">
        <v>4.0</v>
      </c>
      <c r="D128" s="358" t="s">
        <v>171</v>
      </c>
      <c r="E128" s="423">
        <v>10.0</v>
      </c>
      <c r="F128" s="333">
        <v>160.0</v>
      </c>
      <c r="G128" s="379"/>
      <c r="H128" s="423">
        <v>10.0</v>
      </c>
      <c r="I128" s="379">
        <v>160.0</v>
      </c>
      <c r="J128" s="338"/>
      <c r="K128" s="338">
        <v>2.0</v>
      </c>
      <c r="L128" s="459">
        <v>45573.0</v>
      </c>
      <c r="M128" s="338"/>
      <c r="N128" s="336"/>
      <c r="O128" s="416"/>
      <c r="P128" s="479"/>
      <c r="Q128" s="480"/>
      <c r="S128" s="25"/>
      <c r="T128" s="467">
        <f t="shared" si="13"/>
        <v>3200</v>
      </c>
      <c r="U128" s="422"/>
      <c r="V128" s="265"/>
    </row>
    <row r="129">
      <c r="A129" s="37"/>
      <c r="B129" s="308"/>
      <c r="C129" s="309">
        <v>5.0</v>
      </c>
      <c r="D129" s="382" t="s">
        <v>172</v>
      </c>
      <c r="E129" s="244">
        <v>12.0</v>
      </c>
      <c r="F129" s="342">
        <v>70.0</v>
      </c>
      <c r="G129" s="383"/>
      <c r="H129" s="244">
        <v>14.0</v>
      </c>
      <c r="I129" s="383">
        <v>70.0</v>
      </c>
      <c r="J129" s="346"/>
      <c r="K129" s="346" t="s">
        <v>78</v>
      </c>
      <c r="L129" s="239">
        <v>45636.0</v>
      </c>
      <c r="M129" s="345" t="s">
        <v>73</v>
      </c>
      <c r="N129" s="25"/>
      <c r="O129" s="491"/>
      <c r="P129" s="484"/>
      <c r="Q129" s="485"/>
      <c r="S129" s="25"/>
      <c r="T129" s="467">
        <f t="shared" si="13"/>
        <v>1820</v>
      </c>
      <c r="U129" s="422"/>
      <c r="V129" s="265"/>
    </row>
    <row r="130">
      <c r="A130" s="37"/>
      <c r="B130" s="308"/>
      <c r="C130" s="330">
        <v>6.0</v>
      </c>
      <c r="D130" s="358" t="s">
        <v>174</v>
      </c>
      <c r="E130" s="423">
        <v>12.0</v>
      </c>
      <c r="F130" s="333">
        <v>22.5</v>
      </c>
      <c r="G130" s="379"/>
      <c r="H130" s="423">
        <v>10.0</v>
      </c>
      <c r="I130" s="379">
        <v>22.5</v>
      </c>
      <c r="J130" s="338"/>
      <c r="K130" s="338">
        <v>2.0</v>
      </c>
      <c r="L130" s="424">
        <v>45999.0</v>
      </c>
      <c r="M130" s="338"/>
      <c r="N130" s="336"/>
      <c r="O130" s="460"/>
      <c r="P130" s="479"/>
      <c r="Q130" s="486"/>
      <c r="S130" s="25"/>
      <c r="T130" s="467">
        <f t="shared" si="13"/>
        <v>495</v>
      </c>
      <c r="U130" s="422"/>
      <c r="V130" s="265"/>
    </row>
    <row r="131">
      <c r="A131" s="37"/>
      <c r="B131" s="361"/>
      <c r="C131" s="309">
        <v>7.0</v>
      </c>
      <c r="D131" s="382"/>
      <c r="E131" s="259"/>
      <c r="F131" s="383"/>
      <c r="G131" s="318"/>
      <c r="H131" s="343"/>
      <c r="I131" s="342"/>
      <c r="J131" s="344"/>
      <c r="K131" s="481"/>
      <c r="L131" s="259"/>
      <c r="M131" s="100"/>
      <c r="O131" s="25"/>
      <c r="P131" s="472"/>
      <c r="Q131" s="485"/>
      <c r="S131" s="25"/>
      <c r="T131" s="467">
        <f t="shared" si="13"/>
        <v>0</v>
      </c>
      <c r="U131" s="422"/>
      <c r="V131" s="265"/>
    </row>
  </sheetData>
  <mergeCells count="214">
    <mergeCell ref="M82:N82"/>
    <mergeCell ref="M83:N83"/>
    <mergeCell ref="E89:M89"/>
    <mergeCell ref="N89:P89"/>
    <mergeCell ref="Q89:S89"/>
    <mergeCell ref="E90:G90"/>
    <mergeCell ref="H90:J90"/>
    <mergeCell ref="Q90:S90"/>
    <mergeCell ref="K90:M90"/>
    <mergeCell ref="N90:P90"/>
    <mergeCell ref="M91:N91"/>
    <mergeCell ref="M92:N92"/>
    <mergeCell ref="M95:N95"/>
    <mergeCell ref="M96:N96"/>
    <mergeCell ref="M98:N98"/>
    <mergeCell ref="E101:M101"/>
    <mergeCell ref="N101:P101"/>
    <mergeCell ref="Q101:S101"/>
    <mergeCell ref="E102:G102"/>
    <mergeCell ref="H102:J102"/>
    <mergeCell ref="N102:P102"/>
    <mergeCell ref="Q102:S102"/>
    <mergeCell ref="K102:M102"/>
    <mergeCell ref="E112:M112"/>
    <mergeCell ref="N112:P112"/>
    <mergeCell ref="Q112:S112"/>
    <mergeCell ref="E113:G113"/>
    <mergeCell ref="H113:J113"/>
    <mergeCell ref="K113:M113"/>
    <mergeCell ref="N123:P123"/>
    <mergeCell ref="Q123:S123"/>
    <mergeCell ref="K123:M123"/>
    <mergeCell ref="M124:O124"/>
    <mergeCell ref="Q124:S124"/>
    <mergeCell ref="M125:N125"/>
    <mergeCell ref="Q125:S125"/>
    <mergeCell ref="M126:N126"/>
    <mergeCell ref="Q126:S126"/>
    <mergeCell ref="Q127:S127"/>
    <mergeCell ref="Q128:S128"/>
    <mergeCell ref="M129:N129"/>
    <mergeCell ref="Q129:S129"/>
    <mergeCell ref="Q130:S130"/>
    <mergeCell ref="M131:O131"/>
    <mergeCell ref="Q131:S131"/>
    <mergeCell ref="P120:R120"/>
    <mergeCell ref="E122:M122"/>
    <mergeCell ref="N122:P122"/>
    <mergeCell ref="Q122:S122"/>
    <mergeCell ref="E123:G123"/>
    <mergeCell ref="H123:J123"/>
    <mergeCell ref="B124:B131"/>
    <mergeCell ref="N69:P69"/>
    <mergeCell ref="Q69:S69"/>
    <mergeCell ref="K69:M69"/>
    <mergeCell ref="M72:N72"/>
    <mergeCell ref="M76:N76"/>
    <mergeCell ref="M77:N77"/>
    <mergeCell ref="C68:D68"/>
    <mergeCell ref="E68:M68"/>
    <mergeCell ref="N68:P68"/>
    <mergeCell ref="Q68:S68"/>
    <mergeCell ref="E69:G69"/>
    <mergeCell ref="H69:J69"/>
    <mergeCell ref="B70:B77"/>
    <mergeCell ref="N80:P80"/>
    <mergeCell ref="Q80:S80"/>
    <mergeCell ref="B81:B87"/>
    <mergeCell ref="C89:D89"/>
    <mergeCell ref="B91:B98"/>
    <mergeCell ref="C101:D101"/>
    <mergeCell ref="B103:B110"/>
    <mergeCell ref="C112:D112"/>
    <mergeCell ref="B114:B120"/>
    <mergeCell ref="C122:D122"/>
    <mergeCell ref="N113:P113"/>
    <mergeCell ref="Q113:S113"/>
    <mergeCell ref="P114:R114"/>
    <mergeCell ref="P115:R115"/>
    <mergeCell ref="P116:R116"/>
    <mergeCell ref="P117:R117"/>
    <mergeCell ref="P119:R11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K11:L11"/>
    <mergeCell ref="E14:M14"/>
    <mergeCell ref="N14:P14"/>
    <mergeCell ref="Q14:S14"/>
    <mergeCell ref="C14:D14"/>
    <mergeCell ref="E15:G15"/>
    <mergeCell ref="H15:J15"/>
    <mergeCell ref="K15:M15"/>
    <mergeCell ref="N15:P15"/>
    <mergeCell ref="Q15:S15"/>
    <mergeCell ref="M16:N16"/>
    <mergeCell ref="E25:M25"/>
    <mergeCell ref="N25:P25"/>
    <mergeCell ref="Q25:S25"/>
    <mergeCell ref="E26:G26"/>
    <mergeCell ref="H26:J26"/>
    <mergeCell ref="K26:M26"/>
    <mergeCell ref="N26:P26"/>
    <mergeCell ref="Q26:S26"/>
    <mergeCell ref="M17:N17"/>
    <mergeCell ref="M20:N20"/>
    <mergeCell ref="M21:N21"/>
    <mergeCell ref="Q21:R21"/>
    <mergeCell ref="Q22:R22"/>
    <mergeCell ref="M23:N23"/>
    <mergeCell ref="Q23:R23"/>
    <mergeCell ref="H36:J36"/>
    <mergeCell ref="K36:M36"/>
    <mergeCell ref="N36:P36"/>
    <mergeCell ref="Q36:S36"/>
    <mergeCell ref="P30:R30"/>
    <mergeCell ref="P32:R32"/>
    <mergeCell ref="P33:R33"/>
    <mergeCell ref="E35:M35"/>
    <mergeCell ref="N35:P35"/>
    <mergeCell ref="Q35:S35"/>
    <mergeCell ref="E36:G36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A1:B7"/>
    <mergeCell ref="C3:D4"/>
    <mergeCell ref="E3:F4"/>
    <mergeCell ref="I3:L4"/>
    <mergeCell ref="M3:N4"/>
    <mergeCell ref="G6:H6"/>
    <mergeCell ref="M6:N6"/>
    <mergeCell ref="G9:H9"/>
    <mergeCell ref="I9:J9"/>
    <mergeCell ref="K9:L9"/>
    <mergeCell ref="M9:N9"/>
    <mergeCell ref="O9:P9"/>
    <mergeCell ref="Q9:R9"/>
    <mergeCell ref="E6:F6"/>
    <mergeCell ref="C7:D7"/>
    <mergeCell ref="E7:F7"/>
    <mergeCell ref="C8:D8"/>
    <mergeCell ref="E8:F8"/>
    <mergeCell ref="C9:D9"/>
    <mergeCell ref="E9:F9"/>
    <mergeCell ref="K7:L7"/>
    <mergeCell ref="M7:N7"/>
    <mergeCell ref="O7:P7"/>
    <mergeCell ref="Q7:R7"/>
    <mergeCell ref="P27:R27"/>
    <mergeCell ref="P28:R28"/>
    <mergeCell ref="P29:R29"/>
    <mergeCell ref="N46:P46"/>
    <mergeCell ref="Q46:S46"/>
    <mergeCell ref="N47:P47"/>
    <mergeCell ref="Q47:S47"/>
    <mergeCell ref="B16:B23"/>
    <mergeCell ref="C25:D25"/>
    <mergeCell ref="B27:B33"/>
    <mergeCell ref="C35:D35"/>
    <mergeCell ref="B37:B44"/>
    <mergeCell ref="C46:D46"/>
    <mergeCell ref="E46:M46"/>
    <mergeCell ref="E57:M57"/>
    <mergeCell ref="N57:P57"/>
    <mergeCell ref="Q57:S57"/>
    <mergeCell ref="E58:G58"/>
    <mergeCell ref="H58:J58"/>
    <mergeCell ref="K58:M58"/>
    <mergeCell ref="N58:P58"/>
    <mergeCell ref="Q58:S58"/>
    <mergeCell ref="M55:N55"/>
    <mergeCell ref="M59:N59"/>
    <mergeCell ref="M60:N60"/>
    <mergeCell ref="M63:N63"/>
    <mergeCell ref="M64:N64"/>
    <mergeCell ref="M66:N66"/>
    <mergeCell ref="E47:G47"/>
    <mergeCell ref="H47:J47"/>
    <mergeCell ref="K47:M47"/>
    <mergeCell ref="B48:B55"/>
    <mergeCell ref="M50:N50"/>
    <mergeCell ref="C57:D57"/>
    <mergeCell ref="B59:B66"/>
    <mergeCell ref="K80:M80"/>
    <mergeCell ref="M81:N81"/>
    <mergeCell ref="C79:D79"/>
    <mergeCell ref="E79:M79"/>
    <mergeCell ref="N79:P79"/>
    <mergeCell ref="Q79:S79"/>
    <mergeCell ref="E80:G80"/>
    <mergeCell ref="H80:J80"/>
    <mergeCell ref="M86:N86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5 Q46 Q57 Q68 Q79 Q89 Q101 Q112 Q122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264"/>
      <c r="B14" s="265"/>
      <c r="C14" s="294" t="s">
        <v>209</v>
      </c>
      <c r="D14" s="295"/>
      <c r="E14" s="296" t="s">
        <v>248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264"/>
      <c r="B15" s="265"/>
      <c r="C15" s="301" t="s">
        <v>214</v>
      </c>
      <c r="D15" s="405">
        <v>45994.0</v>
      </c>
      <c r="E15" s="303" t="s">
        <v>215</v>
      </c>
      <c r="F15" s="22"/>
      <c r="G15" s="28"/>
      <c r="H15" s="304" t="s">
        <v>216</v>
      </c>
      <c r="I15" s="297"/>
      <c r="J15" s="282"/>
      <c r="K15" s="304" t="s">
        <v>217</v>
      </c>
      <c r="L15" s="297"/>
      <c r="M15" s="282"/>
      <c r="N15" s="304" t="s">
        <v>218</v>
      </c>
      <c r="O15" s="297"/>
      <c r="P15" s="282"/>
      <c r="Q15" s="304" t="s">
        <v>219</v>
      </c>
      <c r="R15" s="297"/>
      <c r="S15" s="282"/>
      <c r="T15" s="265"/>
      <c r="U15" s="265"/>
      <c r="V15" s="265"/>
    </row>
    <row r="16">
      <c r="A16" s="264"/>
      <c r="B16" s="443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223</v>
      </c>
      <c r="L16" s="301" t="s">
        <v>224</v>
      </c>
      <c r="M16" s="301" t="s">
        <v>66</v>
      </c>
      <c r="N16" s="301" t="s">
        <v>223</v>
      </c>
      <c r="O16" s="301" t="s">
        <v>224</v>
      </c>
      <c r="P16" s="301" t="s">
        <v>66</v>
      </c>
      <c r="Q16" s="301" t="s">
        <v>223</v>
      </c>
      <c r="R16" s="301" t="s">
        <v>224</v>
      </c>
      <c r="S16" s="301" t="s">
        <v>66</v>
      </c>
      <c r="T16" s="307" t="s">
        <v>225</v>
      </c>
      <c r="U16" s="421" t="s">
        <v>263</v>
      </c>
      <c r="V16" s="265"/>
    </row>
    <row r="17">
      <c r="A17" s="264"/>
      <c r="B17" s="308"/>
      <c r="C17" s="309">
        <v>1.0</v>
      </c>
      <c r="D17" s="373" t="s">
        <v>130</v>
      </c>
      <c r="E17" s="259">
        <v>12.0</v>
      </c>
      <c r="F17" s="375">
        <v>12.0</v>
      </c>
      <c r="G17" s="384"/>
      <c r="H17" s="376">
        <v>12.0</v>
      </c>
      <c r="I17" s="375">
        <v>12.0</v>
      </c>
      <c r="J17" s="315"/>
      <c r="K17" s="316">
        <v>2.0</v>
      </c>
      <c r="L17" s="236">
        <v>45999.0</v>
      </c>
      <c r="M17" s="346"/>
      <c r="N17" s="317"/>
      <c r="O17" s="316"/>
      <c r="P17" s="317"/>
      <c r="Q17" s="318"/>
      <c r="R17" s="316"/>
      <c r="S17" s="318"/>
      <c r="T17" s="319">
        <f t="shared" ref="T17:T23" si="1">(E17*F17)+(H17*I17)</f>
        <v>288</v>
      </c>
      <c r="U17" s="422"/>
      <c r="V17" s="265"/>
    </row>
    <row r="18">
      <c r="A18" s="264"/>
      <c r="B18" s="308"/>
      <c r="C18" s="330">
        <v>2.0</v>
      </c>
      <c r="D18" s="377" t="s">
        <v>183</v>
      </c>
      <c r="E18" s="423">
        <v>12.0</v>
      </c>
      <c r="F18" s="379">
        <v>15.0</v>
      </c>
      <c r="G18" s="380"/>
      <c r="H18" s="381">
        <v>16.0</v>
      </c>
      <c r="I18" s="379">
        <v>12.0</v>
      </c>
      <c r="J18" s="337"/>
      <c r="K18" s="338" t="s">
        <v>78</v>
      </c>
      <c r="L18" s="436" t="s">
        <v>134</v>
      </c>
      <c r="M18" s="337" t="s">
        <v>73</v>
      </c>
      <c r="N18" s="25"/>
      <c r="O18" s="338">
        <v>3101.0</v>
      </c>
      <c r="P18" s="339"/>
      <c r="Q18" s="336"/>
      <c r="R18" s="338"/>
      <c r="S18" s="336"/>
      <c r="T18" s="319">
        <f t="shared" si="1"/>
        <v>372</v>
      </c>
      <c r="U18" s="422"/>
      <c r="V18" s="265"/>
    </row>
    <row r="19">
      <c r="A19" s="264"/>
      <c r="B19" s="308"/>
      <c r="C19" s="309">
        <v>3.0</v>
      </c>
      <c r="D19" s="382" t="s">
        <v>131</v>
      </c>
      <c r="E19" s="259">
        <v>10.0</v>
      </c>
      <c r="F19" s="383">
        <v>55.0</v>
      </c>
      <c r="H19" s="385">
        <v>9.0</v>
      </c>
      <c r="I19" s="383">
        <v>55.0</v>
      </c>
      <c r="J19" s="345"/>
      <c r="K19" s="346">
        <v>2.0</v>
      </c>
      <c r="L19" s="209">
        <v>45634.0</v>
      </c>
      <c r="M19" s="346"/>
      <c r="N19" s="318"/>
      <c r="O19" s="346"/>
      <c r="P19" s="344"/>
      <c r="Q19" s="318"/>
      <c r="R19" s="346"/>
      <c r="S19" s="318"/>
      <c r="T19" s="319">
        <f t="shared" si="1"/>
        <v>1045</v>
      </c>
      <c r="U19" s="422"/>
      <c r="V19" s="265"/>
    </row>
    <row r="20">
      <c r="A20" s="264"/>
      <c r="B20" s="308"/>
      <c r="C20" s="330">
        <v>4.0</v>
      </c>
      <c r="D20" s="377" t="s">
        <v>106</v>
      </c>
      <c r="E20" s="423">
        <v>10.0</v>
      </c>
      <c r="F20" s="379">
        <v>60.0</v>
      </c>
      <c r="G20" s="380"/>
      <c r="H20" s="381">
        <v>8.0</v>
      </c>
      <c r="I20" s="379">
        <v>60.0</v>
      </c>
      <c r="J20" s="337"/>
      <c r="K20" s="338">
        <v>2.0</v>
      </c>
      <c r="L20" s="459">
        <v>45573.0</v>
      </c>
      <c r="M20" s="338"/>
      <c r="N20" s="336"/>
      <c r="O20" s="338">
        <v>3101.0</v>
      </c>
      <c r="P20" s="339"/>
      <c r="Q20" s="336"/>
      <c r="R20" s="338"/>
      <c r="S20" s="336"/>
      <c r="T20" s="319">
        <f t="shared" si="1"/>
        <v>1080</v>
      </c>
      <c r="U20" s="422"/>
      <c r="V20" s="265"/>
    </row>
    <row r="21">
      <c r="A21" s="264"/>
      <c r="B21" s="308"/>
      <c r="C21" s="309">
        <v>5.0</v>
      </c>
      <c r="D21" s="382" t="s">
        <v>185</v>
      </c>
      <c r="E21" s="244">
        <v>12.0</v>
      </c>
      <c r="F21" s="383">
        <v>40.0</v>
      </c>
      <c r="G21" s="384"/>
      <c r="H21" s="385">
        <v>10.0</v>
      </c>
      <c r="I21" s="383">
        <v>40.0</v>
      </c>
      <c r="J21" s="345"/>
      <c r="K21" s="346">
        <v>2.0</v>
      </c>
      <c r="L21" s="239">
        <v>45636.0</v>
      </c>
      <c r="M21" s="346"/>
      <c r="N21" s="344"/>
      <c r="O21" s="346"/>
      <c r="P21" s="344"/>
      <c r="Q21" s="318"/>
      <c r="R21" s="346"/>
      <c r="S21" s="318"/>
      <c r="T21" s="319">
        <f t="shared" si="1"/>
        <v>880</v>
      </c>
      <c r="U21" s="422"/>
      <c r="V21" s="265"/>
    </row>
    <row r="22">
      <c r="A22" s="264"/>
      <c r="B22" s="308"/>
      <c r="C22" s="330">
        <v>6.0</v>
      </c>
      <c r="D22" s="331" t="s">
        <v>186</v>
      </c>
      <c r="E22" s="423">
        <v>12.0</v>
      </c>
      <c r="F22" s="379">
        <v>70.0</v>
      </c>
      <c r="G22" s="380"/>
      <c r="H22" s="381">
        <v>12.0</v>
      </c>
      <c r="I22" s="379">
        <v>70.0</v>
      </c>
      <c r="J22" s="337"/>
      <c r="K22" s="338">
        <v>2.0</v>
      </c>
      <c r="L22" s="424">
        <v>46001.0</v>
      </c>
      <c r="M22" s="338"/>
      <c r="N22" s="336"/>
      <c r="O22" s="338"/>
      <c r="P22" s="339"/>
      <c r="Q22" s="336"/>
      <c r="R22" s="338"/>
      <c r="S22" s="336"/>
      <c r="T22" s="319">
        <f t="shared" si="1"/>
        <v>1680</v>
      </c>
      <c r="U22" s="422"/>
      <c r="V22" s="265"/>
    </row>
    <row r="23" ht="31.5" customHeight="1">
      <c r="A23" s="264"/>
      <c r="B23" s="361"/>
      <c r="C23" s="309">
        <v>7.0</v>
      </c>
      <c r="D23" s="382" t="s">
        <v>187</v>
      </c>
      <c r="E23" s="259">
        <v>12.0</v>
      </c>
      <c r="F23" s="342">
        <v>10.0</v>
      </c>
      <c r="G23" s="318"/>
      <c r="H23" s="343">
        <v>10.0</v>
      </c>
      <c r="I23" s="342">
        <v>15.0</v>
      </c>
      <c r="J23" s="345"/>
      <c r="K23" s="346" t="s">
        <v>78</v>
      </c>
      <c r="L23" s="236">
        <v>45999.0</v>
      </c>
      <c r="M23" s="100" t="s">
        <v>73</v>
      </c>
      <c r="O23" s="261">
        <v>3101.0</v>
      </c>
      <c r="P23" s="344"/>
      <c r="Q23" s="318"/>
      <c r="R23" s="346"/>
      <c r="S23" s="318"/>
      <c r="T23" s="319">
        <f t="shared" si="1"/>
        <v>270</v>
      </c>
      <c r="U23" s="422"/>
      <c r="V23" s="265"/>
    </row>
    <row r="24" ht="34.5" customHeight="1">
      <c r="A24" s="264"/>
      <c r="B24" s="368"/>
      <c r="C24" s="265"/>
      <c r="D24" s="265"/>
      <c r="E24" s="265"/>
      <c r="F24" s="265"/>
      <c r="G24" s="265"/>
      <c r="H24" s="265"/>
      <c r="I24" s="292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264"/>
      <c r="B25" s="265"/>
      <c r="C25" s="492" t="s">
        <v>209</v>
      </c>
      <c r="D25" s="493"/>
      <c r="E25" s="494" t="s">
        <v>210</v>
      </c>
      <c r="F25" s="297"/>
      <c r="G25" s="297"/>
      <c r="H25" s="297"/>
      <c r="I25" s="297"/>
      <c r="J25" s="297"/>
      <c r="K25" s="297"/>
      <c r="L25" s="297"/>
      <c r="M25" s="282"/>
      <c r="N25" s="495" t="s">
        <v>211</v>
      </c>
      <c r="O25" s="295"/>
      <c r="P25" s="496"/>
      <c r="Q25" s="286"/>
      <c r="R25" s="268"/>
      <c r="S25" s="57"/>
      <c r="T25" s="292"/>
      <c r="U25" s="265"/>
      <c r="V25" s="265"/>
    </row>
    <row r="26">
      <c r="A26" s="264"/>
      <c r="B26" s="265"/>
      <c r="C26" s="497" t="s">
        <v>214</v>
      </c>
      <c r="D26" s="405">
        <v>45999.0</v>
      </c>
      <c r="E26" s="498" t="s">
        <v>215</v>
      </c>
      <c r="F26" s="22"/>
      <c r="G26" s="28"/>
      <c r="H26" s="498" t="s">
        <v>216</v>
      </c>
      <c r="I26" s="22"/>
      <c r="J26" s="28"/>
      <c r="K26" s="499"/>
      <c r="L26" s="22"/>
      <c r="M26" s="28"/>
      <c r="N26" s="499"/>
      <c r="O26" s="22"/>
      <c r="P26" s="28"/>
      <c r="Q26" s="304"/>
      <c r="R26" s="297"/>
      <c r="S26" s="282"/>
      <c r="T26" s="265"/>
      <c r="U26" s="265"/>
      <c r="V26" s="265"/>
    </row>
    <row r="27">
      <c r="A27" s="264"/>
      <c r="B27" s="456" t="s">
        <v>234</v>
      </c>
      <c r="C27" s="500" t="s">
        <v>221</v>
      </c>
      <c r="D27" s="501" t="s">
        <v>222</v>
      </c>
      <c r="E27" s="502" t="s">
        <v>223</v>
      </c>
      <c r="F27" s="502" t="s">
        <v>224</v>
      </c>
      <c r="G27" s="502" t="s">
        <v>66</v>
      </c>
      <c r="H27" s="502" t="s">
        <v>223</v>
      </c>
      <c r="I27" s="502" t="s">
        <v>224</v>
      </c>
      <c r="J27" s="502" t="s">
        <v>66</v>
      </c>
      <c r="K27" s="502" t="s">
        <v>268</v>
      </c>
      <c r="L27" s="502" t="s">
        <v>269</v>
      </c>
      <c r="M27" s="503" t="s">
        <v>270</v>
      </c>
      <c r="N27" s="22"/>
      <c r="O27" s="28"/>
      <c r="P27" s="502" t="s">
        <v>271</v>
      </c>
      <c r="Q27" s="471"/>
      <c r="R27" s="504"/>
      <c r="S27" s="301" t="s">
        <v>271</v>
      </c>
      <c r="T27" s="307" t="s">
        <v>225</v>
      </c>
      <c r="U27" s="421" t="s">
        <v>263</v>
      </c>
      <c r="V27" s="265"/>
    </row>
    <row r="28">
      <c r="A28" s="264"/>
      <c r="B28" s="308"/>
      <c r="C28" s="505">
        <v>1.0</v>
      </c>
      <c r="D28" s="506" t="s">
        <v>167</v>
      </c>
      <c r="E28" s="507">
        <v>16.0</v>
      </c>
      <c r="F28" s="508">
        <v>55.0</v>
      </c>
      <c r="G28" s="509"/>
      <c r="H28" s="507">
        <v>20.0</v>
      </c>
      <c r="I28" s="510">
        <v>50.0</v>
      </c>
      <c r="J28" s="509"/>
      <c r="K28" s="508">
        <v>2.0</v>
      </c>
      <c r="L28" s="507" t="s">
        <v>134</v>
      </c>
      <c r="M28" s="511" t="s">
        <v>124</v>
      </c>
      <c r="N28" s="25"/>
      <c r="O28" s="512"/>
      <c r="P28" s="513"/>
      <c r="Q28" s="485"/>
      <c r="R28" s="491"/>
      <c r="S28" s="472"/>
      <c r="T28" s="426">
        <f t="shared" ref="T28:T33" si="2">(E28*F28)+(H28*I28)</f>
        <v>1880</v>
      </c>
      <c r="U28" s="422"/>
      <c r="V28" s="265"/>
    </row>
    <row r="29">
      <c r="A29" s="264"/>
      <c r="B29" s="308"/>
      <c r="C29" s="514">
        <v>2.0</v>
      </c>
      <c r="D29" s="515" t="s">
        <v>169</v>
      </c>
      <c r="E29" s="516">
        <v>14.0</v>
      </c>
      <c r="F29" s="517">
        <v>15.0</v>
      </c>
      <c r="G29" s="518"/>
      <c r="H29" s="519">
        <v>18.0</v>
      </c>
      <c r="I29" s="520">
        <v>15.0</v>
      </c>
      <c r="J29" s="518"/>
      <c r="K29" s="517" t="s">
        <v>78</v>
      </c>
      <c r="L29" s="519" t="s">
        <v>134</v>
      </c>
      <c r="M29" s="521" t="s">
        <v>73</v>
      </c>
      <c r="N29" s="25"/>
      <c r="O29" s="522"/>
      <c r="P29" s="518"/>
      <c r="Q29" s="336"/>
      <c r="R29" s="339"/>
      <c r="S29" s="339"/>
      <c r="T29" s="426">
        <f t="shared" si="2"/>
        <v>480</v>
      </c>
      <c r="U29" s="422"/>
      <c r="V29" s="265"/>
    </row>
    <row r="30">
      <c r="A30" s="264"/>
      <c r="B30" s="308"/>
      <c r="C30" s="505">
        <v>3.0</v>
      </c>
      <c r="D30" s="506" t="s">
        <v>170</v>
      </c>
      <c r="E30" s="507">
        <v>8.0</v>
      </c>
      <c r="F30" s="508">
        <v>90.0</v>
      </c>
      <c r="G30" s="509"/>
      <c r="H30" s="507">
        <v>8.0</v>
      </c>
      <c r="I30" s="523">
        <v>90.0</v>
      </c>
      <c r="J30" s="509"/>
      <c r="K30" s="508">
        <v>2.0</v>
      </c>
      <c r="L30" s="524">
        <v>45510.0</v>
      </c>
      <c r="M30" s="509"/>
      <c r="N30" s="187"/>
      <c r="O30" s="525"/>
      <c r="P30" s="525"/>
      <c r="Q30" s="485"/>
      <c r="R30" s="491"/>
      <c r="S30" s="473"/>
      <c r="T30" s="426">
        <f t="shared" si="2"/>
        <v>1440</v>
      </c>
      <c r="U30" s="422"/>
      <c r="V30" s="265"/>
    </row>
    <row r="31">
      <c r="A31" s="264"/>
      <c r="B31" s="308"/>
      <c r="C31" s="514">
        <v>4.0</v>
      </c>
      <c r="D31" s="515" t="s">
        <v>171</v>
      </c>
      <c r="E31" s="519">
        <v>10.0</v>
      </c>
      <c r="F31" s="517">
        <v>160.0</v>
      </c>
      <c r="G31" s="518"/>
      <c r="H31" s="519">
        <v>10.0</v>
      </c>
      <c r="I31" s="520">
        <v>160.0</v>
      </c>
      <c r="J31" s="518"/>
      <c r="K31" s="517">
        <v>2.0</v>
      </c>
      <c r="L31" s="526">
        <v>45573.0</v>
      </c>
      <c r="M31" s="518"/>
      <c r="N31" s="527"/>
      <c r="O31" s="522"/>
      <c r="P31" s="528"/>
      <c r="Q31" s="332"/>
      <c r="R31" s="335"/>
      <c r="S31" s="339"/>
      <c r="T31" s="426">
        <f t="shared" si="2"/>
        <v>3200</v>
      </c>
      <c r="U31" s="422"/>
      <c r="V31" s="265"/>
    </row>
    <row r="32">
      <c r="A32" s="264"/>
      <c r="B32" s="308"/>
      <c r="C32" s="505">
        <v>5.0</v>
      </c>
      <c r="D32" s="506" t="s">
        <v>172</v>
      </c>
      <c r="E32" s="529">
        <v>12.0</v>
      </c>
      <c r="F32" s="508">
        <v>70.0</v>
      </c>
      <c r="G32" s="509"/>
      <c r="H32" s="529">
        <v>14.0</v>
      </c>
      <c r="I32" s="510">
        <v>70.0</v>
      </c>
      <c r="J32" s="509"/>
      <c r="K32" s="508" t="s">
        <v>78</v>
      </c>
      <c r="L32" s="530">
        <v>45636.0</v>
      </c>
      <c r="M32" s="511" t="s">
        <v>73</v>
      </c>
      <c r="N32" s="25"/>
      <c r="O32" s="531"/>
      <c r="P32" s="513"/>
      <c r="Q32" s="228"/>
      <c r="R32" s="418"/>
      <c r="S32" s="473"/>
      <c r="T32" s="426">
        <f t="shared" si="2"/>
        <v>1820</v>
      </c>
      <c r="U32" s="422"/>
      <c r="V32" s="265"/>
    </row>
    <row r="33">
      <c r="A33" s="264"/>
      <c r="B33" s="361"/>
      <c r="C33" s="514">
        <v>6.0</v>
      </c>
      <c r="D33" s="515" t="s">
        <v>174</v>
      </c>
      <c r="E33" s="519">
        <v>12.0</v>
      </c>
      <c r="F33" s="517">
        <v>22.5</v>
      </c>
      <c r="G33" s="518"/>
      <c r="H33" s="519">
        <v>10.0</v>
      </c>
      <c r="I33" s="520">
        <v>22.5</v>
      </c>
      <c r="J33" s="518"/>
      <c r="K33" s="517">
        <v>2.0</v>
      </c>
      <c r="L33" s="526">
        <v>45999.0</v>
      </c>
      <c r="M33" s="518"/>
      <c r="N33" s="527"/>
      <c r="O33" s="522"/>
      <c r="P33" s="518"/>
      <c r="Q33" s="336"/>
      <c r="R33" s="339"/>
      <c r="S33" s="338"/>
      <c r="T33" s="426">
        <f t="shared" si="2"/>
        <v>495</v>
      </c>
      <c r="U33" s="422"/>
      <c r="V33" s="265"/>
    </row>
    <row r="34" ht="42.75" customHeight="1">
      <c r="A34" s="264"/>
      <c r="B34" s="368"/>
      <c r="C34" s="532">
        <v>7.0</v>
      </c>
      <c r="D34" s="509"/>
      <c r="E34" s="509"/>
      <c r="F34" s="509"/>
      <c r="G34" s="509"/>
      <c r="H34" s="509"/>
      <c r="I34" s="509"/>
      <c r="J34" s="509"/>
      <c r="K34" s="509"/>
      <c r="L34" s="509"/>
      <c r="M34" s="187"/>
      <c r="O34" s="25"/>
      <c r="P34" s="509"/>
      <c r="Q34" s="265"/>
      <c r="R34" s="265"/>
      <c r="S34" s="265"/>
      <c r="T34" s="265"/>
      <c r="U34" s="265"/>
      <c r="V34" s="265"/>
    </row>
    <row r="35">
      <c r="A35" s="264"/>
      <c r="B35" s="265"/>
      <c r="C35" s="492" t="s">
        <v>209</v>
      </c>
      <c r="D35" s="493"/>
      <c r="E35" s="494" t="s">
        <v>233</v>
      </c>
      <c r="F35" s="297"/>
      <c r="G35" s="297"/>
      <c r="H35" s="297"/>
      <c r="I35" s="297"/>
      <c r="J35" s="297"/>
      <c r="K35" s="297"/>
      <c r="L35" s="297"/>
      <c r="M35" s="282"/>
      <c r="N35" s="495" t="s">
        <v>211</v>
      </c>
      <c r="O35" s="295"/>
      <c r="P35" s="496"/>
      <c r="Q35" s="286"/>
      <c r="R35" s="268"/>
      <c r="S35" s="57"/>
      <c r="T35" s="292"/>
      <c r="U35" s="265"/>
      <c r="V35" s="265"/>
    </row>
    <row r="36">
      <c r="A36" s="264"/>
      <c r="B36" s="265"/>
      <c r="C36" s="497" t="s">
        <v>214</v>
      </c>
      <c r="D36" s="533">
        <v>46001.0</v>
      </c>
      <c r="E36" s="498" t="s">
        <v>215</v>
      </c>
      <c r="F36" s="22"/>
      <c r="G36" s="28"/>
      <c r="H36" s="498" t="s">
        <v>216</v>
      </c>
      <c r="I36" s="22"/>
      <c r="J36" s="28"/>
      <c r="K36" s="499"/>
      <c r="L36" s="22"/>
      <c r="M36" s="28"/>
      <c r="N36" s="499"/>
      <c r="O36" s="22"/>
      <c r="P36" s="28"/>
      <c r="Q36" s="304" t="s">
        <v>219</v>
      </c>
      <c r="R36" s="297"/>
      <c r="S36" s="282"/>
      <c r="T36" s="265"/>
      <c r="U36" s="265"/>
      <c r="V36" s="265"/>
    </row>
    <row r="37">
      <c r="A37" s="264"/>
      <c r="B37" s="457" t="s">
        <v>242</v>
      </c>
      <c r="C37" s="500" t="s">
        <v>221</v>
      </c>
      <c r="D37" s="501" t="s">
        <v>222</v>
      </c>
      <c r="E37" s="502" t="s">
        <v>223</v>
      </c>
      <c r="F37" s="502" t="s">
        <v>224</v>
      </c>
      <c r="G37" s="502" t="s">
        <v>66</v>
      </c>
      <c r="H37" s="502" t="s">
        <v>223</v>
      </c>
      <c r="I37" s="502" t="s">
        <v>224</v>
      </c>
      <c r="J37" s="502" t="s">
        <v>66</v>
      </c>
      <c r="K37" s="502" t="s">
        <v>64</v>
      </c>
      <c r="L37" s="502" t="s">
        <v>223</v>
      </c>
      <c r="M37" s="534" t="s">
        <v>266</v>
      </c>
      <c r="N37" s="28"/>
      <c r="O37" s="535" t="s">
        <v>68</v>
      </c>
      <c r="P37" s="536"/>
      <c r="Q37" s="301" t="s">
        <v>223</v>
      </c>
      <c r="R37" s="301" t="s">
        <v>224</v>
      </c>
      <c r="S37" s="301" t="s">
        <v>66</v>
      </c>
      <c r="T37" s="307" t="s">
        <v>225</v>
      </c>
      <c r="U37" s="421" t="s">
        <v>263</v>
      </c>
      <c r="V37" s="265"/>
    </row>
    <row r="38" ht="33.75" customHeight="1">
      <c r="A38" s="264"/>
      <c r="B38" s="308"/>
      <c r="C38" s="505">
        <v>1.0</v>
      </c>
      <c r="D38" s="506" t="s">
        <v>104</v>
      </c>
      <c r="E38" s="510">
        <v>12.0</v>
      </c>
      <c r="F38" s="508">
        <v>10.0</v>
      </c>
      <c r="G38" s="509"/>
      <c r="H38" s="510">
        <v>12.0</v>
      </c>
      <c r="I38" s="508">
        <v>10.0</v>
      </c>
      <c r="J38" s="509"/>
      <c r="K38" s="508">
        <v>2.0</v>
      </c>
      <c r="L38" s="524">
        <v>45634.0</v>
      </c>
      <c r="M38" s="537" t="s">
        <v>124</v>
      </c>
      <c r="N38" s="25"/>
      <c r="O38" s="509"/>
      <c r="P38" s="538"/>
      <c r="Q38" s="318"/>
      <c r="R38" s="316"/>
      <c r="S38" s="318"/>
      <c r="T38" s="425">
        <f t="shared" ref="T38:T44" si="3">(E38*F38)+(H38*I38)+(K38*L38)+(N38*O38)+(Q38*R38)</f>
        <v>91508</v>
      </c>
      <c r="U38" s="422"/>
      <c r="V38" s="265"/>
    </row>
    <row r="39" ht="33.75" customHeight="1">
      <c r="A39" s="264"/>
      <c r="B39" s="308"/>
      <c r="C39" s="514">
        <v>2.0</v>
      </c>
      <c r="D39" s="515" t="s">
        <v>145</v>
      </c>
      <c r="E39" s="520">
        <v>10.0</v>
      </c>
      <c r="F39" s="517">
        <v>70.0</v>
      </c>
      <c r="G39" s="518"/>
      <c r="H39" s="520">
        <v>8.0</v>
      </c>
      <c r="I39" s="517">
        <v>70.0</v>
      </c>
      <c r="J39" s="518"/>
      <c r="K39" s="517">
        <v>2.0</v>
      </c>
      <c r="L39" s="539">
        <v>45938.0</v>
      </c>
      <c r="M39" s="527"/>
      <c r="N39" s="522"/>
      <c r="O39" s="518"/>
      <c r="P39" s="540"/>
      <c r="Q39" s="336"/>
      <c r="R39" s="338"/>
      <c r="S39" s="336"/>
      <c r="T39" s="319">
        <f t="shared" si="3"/>
        <v>93136</v>
      </c>
      <c r="U39" s="422"/>
      <c r="V39" s="265"/>
    </row>
    <row r="40" ht="33.75" customHeight="1">
      <c r="A40" s="264"/>
      <c r="B40" s="308"/>
      <c r="C40" s="505">
        <v>3.0</v>
      </c>
      <c r="D40" s="506" t="s">
        <v>146</v>
      </c>
      <c r="E40" s="510">
        <v>8.0</v>
      </c>
      <c r="F40" s="508">
        <v>28.0</v>
      </c>
      <c r="G40" s="509"/>
      <c r="H40" s="510">
        <v>7.0</v>
      </c>
      <c r="I40" s="508">
        <v>26.0</v>
      </c>
      <c r="J40" s="509"/>
      <c r="K40" s="508">
        <v>2.0</v>
      </c>
      <c r="L40" s="524">
        <v>45509.0</v>
      </c>
      <c r="M40" s="187"/>
      <c r="N40" s="531"/>
      <c r="O40" s="509"/>
      <c r="P40" s="538"/>
      <c r="Q40" s="318"/>
      <c r="R40" s="346"/>
      <c r="S40" s="318"/>
      <c r="T40" s="319">
        <f t="shared" si="3"/>
        <v>91424</v>
      </c>
      <c r="U40" s="422"/>
      <c r="V40" s="265"/>
    </row>
    <row r="41" ht="33.75" customHeight="1">
      <c r="A41" s="264"/>
      <c r="B41" s="308"/>
      <c r="C41" s="514">
        <v>4.0</v>
      </c>
      <c r="D41" s="515" t="s">
        <v>76</v>
      </c>
      <c r="E41" s="520">
        <v>8.0</v>
      </c>
      <c r="F41" s="517">
        <v>10.0</v>
      </c>
      <c r="G41" s="518"/>
      <c r="H41" s="520">
        <v>16.0</v>
      </c>
      <c r="I41" s="517">
        <v>7.5</v>
      </c>
      <c r="J41" s="518"/>
      <c r="K41" s="517" t="s">
        <v>78</v>
      </c>
      <c r="L41" s="517" t="s">
        <v>108</v>
      </c>
      <c r="M41" s="541" t="s">
        <v>97</v>
      </c>
      <c r="N41" s="25"/>
      <c r="O41" s="542">
        <v>3101.0</v>
      </c>
      <c r="P41" s="540"/>
      <c r="Q41" s="336"/>
      <c r="R41" s="338"/>
      <c r="S41" s="336"/>
      <c r="T41" s="319" t="str">
        <f t="shared" si="3"/>
        <v>#VALUE!</v>
      </c>
      <c r="U41" s="422"/>
      <c r="V41" s="265"/>
    </row>
    <row r="42" ht="33.75" customHeight="1">
      <c r="A42" s="264"/>
      <c r="B42" s="308"/>
      <c r="C42" s="505">
        <v>5.0</v>
      </c>
      <c r="D42" s="506" t="s">
        <v>147</v>
      </c>
      <c r="E42" s="510">
        <v>14.0</v>
      </c>
      <c r="F42" s="508">
        <v>5.0</v>
      </c>
      <c r="G42" s="509"/>
      <c r="H42" s="510">
        <v>16.0</v>
      </c>
      <c r="I42" s="508">
        <v>5.0</v>
      </c>
      <c r="J42" s="509"/>
      <c r="K42" s="508" t="s">
        <v>78</v>
      </c>
      <c r="L42" s="507" t="s">
        <v>134</v>
      </c>
      <c r="M42" s="537" t="s">
        <v>73</v>
      </c>
      <c r="N42" s="25"/>
      <c r="O42" s="543">
        <v>3101.0</v>
      </c>
      <c r="P42" s="544"/>
      <c r="Q42" s="318"/>
      <c r="R42" s="346"/>
      <c r="S42" s="318"/>
      <c r="T42" s="319" t="str">
        <f t="shared" si="3"/>
        <v>#VALUE!</v>
      </c>
      <c r="U42" s="422"/>
      <c r="V42" s="265"/>
    </row>
    <row r="43" ht="33.75" customHeight="1">
      <c r="A43" s="264"/>
      <c r="B43" s="308"/>
      <c r="C43" s="514">
        <v>6.0</v>
      </c>
      <c r="D43" s="515" t="s">
        <v>149</v>
      </c>
      <c r="E43" s="520">
        <v>12.0</v>
      </c>
      <c r="F43" s="517">
        <v>20.0</v>
      </c>
      <c r="G43" s="518"/>
      <c r="H43" s="520">
        <v>12.0</v>
      </c>
      <c r="I43" s="517">
        <v>20.0</v>
      </c>
      <c r="J43" s="518"/>
      <c r="K43" s="517">
        <v>2.0</v>
      </c>
      <c r="L43" s="539">
        <v>45999.0</v>
      </c>
      <c r="M43" s="527"/>
      <c r="N43" s="522"/>
      <c r="O43" s="542">
        <v>3101.0</v>
      </c>
      <c r="P43" s="540"/>
      <c r="Q43" s="336"/>
      <c r="R43" s="338"/>
      <c r="S43" s="336"/>
      <c r="T43" s="319">
        <f t="shared" si="3"/>
        <v>92478</v>
      </c>
      <c r="U43" s="422"/>
      <c r="V43" s="265"/>
    </row>
    <row r="44" ht="33.75" customHeight="1">
      <c r="A44" s="264"/>
      <c r="B44" s="361"/>
      <c r="C44" s="505">
        <v>7.0</v>
      </c>
      <c r="D44" s="506" t="s">
        <v>151</v>
      </c>
      <c r="E44" s="508">
        <v>12.0</v>
      </c>
      <c r="F44" s="508">
        <v>5.0</v>
      </c>
      <c r="G44" s="509"/>
      <c r="H44" s="508">
        <v>16.0</v>
      </c>
      <c r="I44" s="508">
        <v>4.5</v>
      </c>
      <c r="J44" s="509"/>
      <c r="K44" s="508" t="s">
        <v>78</v>
      </c>
      <c r="L44" s="508" t="s">
        <v>134</v>
      </c>
      <c r="M44" s="511" t="s">
        <v>73</v>
      </c>
      <c r="N44" s="25"/>
      <c r="O44" s="543">
        <v>3200.0</v>
      </c>
      <c r="P44" s="544"/>
      <c r="Q44" s="318"/>
      <c r="R44" s="346"/>
      <c r="S44" s="318"/>
      <c r="T44" s="319" t="str">
        <f t="shared" si="3"/>
        <v>#VALUE!</v>
      </c>
      <c r="U44" s="422"/>
      <c r="V44" s="265"/>
    </row>
    <row r="45" ht="33.0" customHeight="1">
      <c r="A45" s="264"/>
      <c r="B45" s="368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92"/>
      <c r="R45" s="265"/>
      <c r="S45" s="265"/>
      <c r="T45" s="265"/>
      <c r="U45" s="265"/>
      <c r="V45" s="265"/>
    </row>
    <row r="46">
      <c r="A46" s="264"/>
      <c r="B46" s="265"/>
      <c r="C46" s="294" t="s">
        <v>209</v>
      </c>
      <c r="D46" s="295"/>
      <c r="E46" s="296" t="s">
        <v>241</v>
      </c>
      <c r="F46" s="297"/>
      <c r="G46" s="297"/>
      <c r="H46" s="297"/>
      <c r="I46" s="297"/>
      <c r="J46" s="297"/>
      <c r="K46" s="297"/>
      <c r="L46" s="297"/>
      <c r="M46" s="282"/>
      <c r="N46" s="298" t="s">
        <v>211</v>
      </c>
      <c r="O46" s="268"/>
      <c r="P46" s="57"/>
      <c r="Q46" s="286"/>
      <c r="R46" s="268"/>
      <c r="S46" s="57"/>
      <c r="T46" s="292"/>
      <c r="U46" s="265"/>
      <c r="V46" s="265"/>
    </row>
    <row r="47">
      <c r="A47" s="264"/>
      <c r="B47" s="265"/>
      <c r="C47" s="301" t="s">
        <v>214</v>
      </c>
      <c r="D47" s="405">
        <v>46003.0</v>
      </c>
      <c r="E47" s="303" t="s">
        <v>215</v>
      </c>
      <c r="F47" s="22"/>
      <c r="G47" s="28"/>
      <c r="H47" s="304" t="s">
        <v>216</v>
      </c>
      <c r="I47" s="297"/>
      <c r="J47" s="282"/>
      <c r="K47" s="304" t="s">
        <v>217</v>
      </c>
      <c r="L47" s="297"/>
      <c r="M47" s="282"/>
      <c r="N47" s="304" t="s">
        <v>218</v>
      </c>
      <c r="O47" s="297"/>
      <c r="P47" s="282"/>
      <c r="Q47" s="304" t="s">
        <v>219</v>
      </c>
      <c r="R47" s="297"/>
      <c r="S47" s="282"/>
      <c r="T47" s="265"/>
      <c r="U47" s="265"/>
      <c r="V47" s="265"/>
    </row>
    <row r="48">
      <c r="A48" s="264"/>
      <c r="B48" s="458" t="s">
        <v>245</v>
      </c>
      <c r="C48" s="306" t="s">
        <v>221</v>
      </c>
      <c r="D48" s="306" t="s">
        <v>222</v>
      </c>
      <c r="E48" s="301" t="s">
        <v>223</v>
      </c>
      <c r="F48" s="301" t="s">
        <v>224</v>
      </c>
      <c r="G48" s="301" t="s">
        <v>66</v>
      </c>
      <c r="H48" s="301" t="s">
        <v>223</v>
      </c>
      <c r="I48" s="301" t="s">
        <v>224</v>
      </c>
      <c r="J48" s="301" t="s">
        <v>66</v>
      </c>
      <c r="K48" s="301" t="s">
        <v>223</v>
      </c>
      <c r="L48" s="301" t="s">
        <v>224</v>
      </c>
      <c r="M48" s="301" t="s">
        <v>66</v>
      </c>
      <c r="N48" s="301" t="s">
        <v>223</v>
      </c>
      <c r="O48" s="301" t="s">
        <v>224</v>
      </c>
      <c r="P48" s="301" t="s">
        <v>66</v>
      </c>
      <c r="Q48" s="301" t="s">
        <v>223</v>
      </c>
      <c r="R48" s="301" t="s">
        <v>224</v>
      </c>
      <c r="S48" s="301" t="s">
        <v>66</v>
      </c>
      <c r="T48" s="307" t="s">
        <v>225</v>
      </c>
      <c r="U48" s="421" t="s">
        <v>263</v>
      </c>
      <c r="V48" s="265"/>
    </row>
    <row r="49" ht="33.75" customHeight="1">
      <c r="A49" s="264"/>
      <c r="B49" s="308"/>
      <c r="C49" s="309">
        <v>1.0</v>
      </c>
      <c r="D49" s="360" t="s">
        <v>154</v>
      </c>
      <c r="E49" s="413">
        <v>10.0</v>
      </c>
      <c r="F49" s="442">
        <v>10.0</v>
      </c>
      <c r="G49" s="414"/>
      <c r="H49" s="413">
        <v>10.0</v>
      </c>
      <c r="I49" s="442">
        <v>10.0</v>
      </c>
      <c r="J49" s="317"/>
      <c r="K49" s="312">
        <v>2.0</v>
      </c>
      <c r="L49" s="209">
        <v>45573.0</v>
      </c>
      <c r="M49" s="218"/>
      <c r="N49" s="218"/>
      <c r="O49" s="316"/>
      <c r="P49" s="316"/>
      <c r="Q49" s="318"/>
      <c r="R49" s="316"/>
      <c r="S49" s="318"/>
      <c r="T49" s="425">
        <f t="shared" ref="T49:T55" si="4">(E49*F49)+(H49*I49)+(K49*L49)+(N49*O49)+(Q49*R49)</f>
        <v>91346</v>
      </c>
      <c r="U49" s="422"/>
      <c r="V49" s="265"/>
    </row>
    <row r="50" ht="33.75" customHeight="1">
      <c r="A50" s="264"/>
      <c r="B50" s="308"/>
      <c r="C50" s="330">
        <v>2.0</v>
      </c>
      <c r="D50" s="358" t="s">
        <v>155</v>
      </c>
      <c r="E50" s="427">
        <v>12.0</v>
      </c>
      <c r="F50" s="427">
        <v>20.0</v>
      </c>
      <c r="G50" s="416"/>
      <c r="H50" s="427">
        <v>15.0</v>
      </c>
      <c r="I50" s="427">
        <v>20.0</v>
      </c>
      <c r="J50" s="339"/>
      <c r="K50" s="333" t="s">
        <v>78</v>
      </c>
      <c r="L50" s="459">
        <v>45636.0</v>
      </c>
      <c r="M50" s="455" t="s">
        <v>73</v>
      </c>
      <c r="O50" s="338"/>
      <c r="P50" s="338"/>
      <c r="Q50" s="336"/>
      <c r="R50" s="338"/>
      <c r="S50" s="336"/>
      <c r="T50" s="319" t="str">
        <f t="shared" si="4"/>
        <v>#VALUE!</v>
      </c>
      <c r="U50" s="422"/>
      <c r="V50" s="265"/>
    </row>
    <row r="51" ht="33.75" customHeight="1">
      <c r="A51" s="264"/>
      <c r="B51" s="308"/>
      <c r="C51" s="309">
        <v>3.0</v>
      </c>
      <c r="D51" s="360" t="s">
        <v>156</v>
      </c>
      <c r="E51" s="428">
        <v>8.0</v>
      </c>
      <c r="F51" s="428">
        <v>60.0</v>
      </c>
      <c r="G51" s="418"/>
      <c r="H51" s="417">
        <v>8.0</v>
      </c>
      <c r="I51" s="428">
        <v>60.0</v>
      </c>
      <c r="J51" s="344"/>
      <c r="K51" s="342">
        <v>2.0</v>
      </c>
      <c r="L51" s="236">
        <v>45875.0</v>
      </c>
      <c r="M51" s="218"/>
      <c r="N51" s="218"/>
      <c r="O51" s="346"/>
      <c r="P51" s="346"/>
      <c r="Q51" s="318"/>
      <c r="R51" s="346"/>
      <c r="S51" s="318"/>
      <c r="T51" s="425">
        <f t="shared" si="4"/>
        <v>92710</v>
      </c>
      <c r="U51" s="422"/>
      <c r="V51" s="265"/>
    </row>
    <row r="52" ht="33.75" customHeight="1">
      <c r="A52" s="264"/>
      <c r="B52" s="308"/>
      <c r="C52" s="330">
        <v>4.0</v>
      </c>
      <c r="D52" s="358" t="s">
        <v>159</v>
      </c>
      <c r="E52" s="415">
        <v>12.0</v>
      </c>
      <c r="F52" s="427">
        <v>55.0</v>
      </c>
      <c r="G52" s="416"/>
      <c r="H52" s="415">
        <v>12.0</v>
      </c>
      <c r="I52" s="427">
        <v>55.0</v>
      </c>
      <c r="J52" s="339"/>
      <c r="K52" s="333">
        <v>2.0</v>
      </c>
      <c r="L52" s="459">
        <v>45636.0</v>
      </c>
      <c r="M52" s="462"/>
      <c r="N52" s="462"/>
      <c r="O52" s="338"/>
      <c r="P52" s="338"/>
      <c r="Q52" s="336"/>
      <c r="R52" s="338"/>
      <c r="S52" s="336"/>
      <c r="T52" s="425">
        <f t="shared" si="4"/>
        <v>92592</v>
      </c>
      <c r="U52" s="422"/>
      <c r="V52" s="265"/>
    </row>
    <row r="53" ht="33.75" customHeight="1">
      <c r="A53" s="264"/>
      <c r="B53" s="308"/>
      <c r="C53" s="309">
        <v>5.0</v>
      </c>
      <c r="D53" s="341" t="s">
        <v>275</v>
      </c>
      <c r="E53" s="428">
        <v>10.0</v>
      </c>
      <c r="F53" s="545">
        <v>50.0</v>
      </c>
      <c r="G53" s="418"/>
      <c r="H53" s="428">
        <v>10.0</v>
      </c>
      <c r="I53" s="545">
        <v>50.0</v>
      </c>
      <c r="J53" s="344"/>
      <c r="K53" s="342">
        <v>2.0</v>
      </c>
      <c r="L53" s="463">
        <v>45938.0</v>
      </c>
      <c r="M53" s="241"/>
      <c r="N53" s="241"/>
      <c r="O53" s="346"/>
      <c r="P53" s="346"/>
      <c r="Q53" s="318"/>
      <c r="R53" s="346"/>
      <c r="S53" s="318"/>
      <c r="T53" s="425">
        <f t="shared" si="4"/>
        <v>92876</v>
      </c>
      <c r="U53" s="422"/>
      <c r="V53" s="265"/>
    </row>
    <row r="54" ht="33.75" customHeight="1">
      <c r="A54" s="264"/>
      <c r="B54" s="308"/>
      <c r="C54" s="330">
        <v>6.0</v>
      </c>
      <c r="D54" s="358" t="s">
        <v>107</v>
      </c>
      <c r="E54" s="427">
        <v>13.0</v>
      </c>
      <c r="F54" s="415">
        <v>10.0</v>
      </c>
      <c r="G54" s="419"/>
      <c r="H54" s="427">
        <v>18.0</v>
      </c>
      <c r="I54" s="489">
        <v>45784.0</v>
      </c>
      <c r="J54" s="339"/>
      <c r="K54" s="338" t="s">
        <v>78</v>
      </c>
      <c r="L54" s="436" t="s">
        <v>134</v>
      </c>
      <c r="M54" s="455" t="s">
        <v>73</v>
      </c>
      <c r="O54" s="338">
        <v>3100.0</v>
      </c>
      <c r="P54" s="338"/>
      <c r="Q54" s="336"/>
      <c r="R54" s="338"/>
      <c r="S54" s="336"/>
      <c r="T54" s="319" t="str">
        <f t="shared" si="4"/>
        <v>#VALUE!</v>
      </c>
      <c r="U54" s="422"/>
      <c r="V54" s="265"/>
    </row>
    <row r="55" ht="33.75" customHeight="1">
      <c r="A55" s="264"/>
      <c r="B55" s="361"/>
      <c r="C55" s="309">
        <v>7.0</v>
      </c>
      <c r="D55" s="360" t="s">
        <v>163</v>
      </c>
      <c r="E55" s="428">
        <v>14.0</v>
      </c>
      <c r="F55" s="428">
        <v>5.0</v>
      </c>
      <c r="G55" s="420"/>
      <c r="H55" s="428">
        <v>16.0</v>
      </c>
      <c r="I55" s="428">
        <v>5.0</v>
      </c>
      <c r="J55" s="344"/>
      <c r="K55" s="342" t="s">
        <v>78</v>
      </c>
      <c r="L55" s="244" t="s">
        <v>134</v>
      </c>
      <c r="M55" s="97" t="s">
        <v>73</v>
      </c>
      <c r="O55" s="346">
        <v>3101.0</v>
      </c>
      <c r="P55" s="346"/>
      <c r="Q55" s="318"/>
      <c r="R55" s="346"/>
      <c r="S55" s="318"/>
      <c r="T55" s="319" t="str">
        <f t="shared" si="4"/>
        <v>#VALUE!</v>
      </c>
      <c r="U55" s="422"/>
      <c r="V55" s="265"/>
    </row>
    <row r="56" ht="30.0" customHeight="1">
      <c r="A56" s="264"/>
      <c r="B56" s="368"/>
      <c r="C56" s="265"/>
      <c r="D56" s="265"/>
      <c r="E56" s="265"/>
      <c r="F56" s="265"/>
      <c r="G56" s="265"/>
      <c r="H56" s="265"/>
      <c r="I56" s="265"/>
      <c r="J56" s="292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</row>
    <row r="57">
      <c r="A57" s="264"/>
      <c r="B57" s="265"/>
      <c r="C57" s="294" t="s">
        <v>209</v>
      </c>
      <c r="D57" s="295"/>
      <c r="E57" s="296" t="s">
        <v>244</v>
      </c>
      <c r="F57" s="297"/>
      <c r="G57" s="297"/>
      <c r="H57" s="297"/>
      <c r="I57" s="297"/>
      <c r="J57" s="297"/>
      <c r="K57" s="297"/>
      <c r="L57" s="297"/>
      <c r="M57" s="282"/>
      <c r="N57" s="298" t="s">
        <v>211</v>
      </c>
      <c r="O57" s="268"/>
      <c r="P57" s="57"/>
      <c r="Q57" s="286"/>
      <c r="R57" s="268"/>
      <c r="S57" s="57"/>
      <c r="T57" s="292"/>
      <c r="U57" s="265"/>
      <c r="V57" s="265"/>
    </row>
    <row r="58">
      <c r="A58" s="264"/>
      <c r="B58" s="265"/>
      <c r="C58" s="301" t="s">
        <v>214</v>
      </c>
      <c r="D58" s="372">
        <v>46005.0</v>
      </c>
      <c r="E58" s="303" t="s">
        <v>215</v>
      </c>
      <c r="F58" s="22"/>
      <c r="G58" s="28"/>
      <c r="H58" s="304" t="s">
        <v>216</v>
      </c>
      <c r="I58" s="297"/>
      <c r="J58" s="282"/>
      <c r="K58" s="304" t="s">
        <v>217</v>
      </c>
      <c r="L58" s="297"/>
      <c r="M58" s="282"/>
      <c r="N58" s="304"/>
      <c r="O58" s="297"/>
      <c r="P58" s="282"/>
      <c r="Q58" s="304"/>
      <c r="R58" s="297"/>
      <c r="S58" s="282"/>
      <c r="T58" s="265"/>
      <c r="U58" s="265"/>
      <c r="V58" s="265"/>
    </row>
    <row r="59">
      <c r="A59" s="264"/>
      <c r="B59" s="458" t="s">
        <v>247</v>
      </c>
      <c r="C59" s="306" t="s">
        <v>221</v>
      </c>
      <c r="D59" s="306" t="s">
        <v>222</v>
      </c>
      <c r="E59" s="301" t="s">
        <v>223</v>
      </c>
      <c r="F59" s="301" t="s">
        <v>224</v>
      </c>
      <c r="G59" s="301" t="s">
        <v>66</v>
      </c>
      <c r="H59" s="301" t="s">
        <v>223</v>
      </c>
      <c r="I59" s="301" t="s">
        <v>224</v>
      </c>
      <c r="J59" s="301" t="s">
        <v>66</v>
      </c>
      <c r="K59" s="301" t="s">
        <v>223</v>
      </c>
      <c r="L59" s="301" t="s">
        <v>224</v>
      </c>
      <c r="M59" s="301" t="s">
        <v>66</v>
      </c>
      <c r="N59" s="301" t="s">
        <v>268</v>
      </c>
      <c r="O59" s="301" t="s">
        <v>269</v>
      </c>
      <c r="P59" s="471" t="s">
        <v>270</v>
      </c>
      <c r="Q59" s="297"/>
      <c r="R59" s="282"/>
      <c r="S59" s="301" t="s">
        <v>271</v>
      </c>
      <c r="T59" s="307" t="s">
        <v>225</v>
      </c>
      <c r="U59" s="421" t="s">
        <v>263</v>
      </c>
      <c r="V59" s="265"/>
    </row>
    <row r="60" ht="33.75" customHeight="1">
      <c r="A60" s="264"/>
      <c r="B60" s="308"/>
      <c r="C60" s="309">
        <v>1.0</v>
      </c>
      <c r="D60" s="373" t="s">
        <v>167</v>
      </c>
      <c r="E60" s="374">
        <v>12.0</v>
      </c>
      <c r="F60" s="375">
        <v>55.0</v>
      </c>
      <c r="G60" s="384"/>
      <c r="H60" s="376">
        <v>14.0</v>
      </c>
      <c r="I60" s="375">
        <v>55.0</v>
      </c>
      <c r="J60" s="317"/>
      <c r="K60" s="311"/>
      <c r="L60" s="312"/>
      <c r="M60" s="317"/>
      <c r="N60" s="317">
        <v>2.0</v>
      </c>
      <c r="O60" s="209">
        <v>45634.0</v>
      </c>
      <c r="P60" s="100" t="s">
        <v>124</v>
      </c>
      <c r="R60" s="25"/>
      <c r="S60" s="472">
        <v>3101.0</v>
      </c>
      <c r="T60" s="425">
        <f t="shared" ref="T60:T66" si="5">(E60*F60)+(H60*I60)+(K60*L60)+(N60*O60)+(Q60*R60)</f>
        <v>92698</v>
      </c>
      <c r="U60" s="422"/>
      <c r="V60" s="265"/>
    </row>
    <row r="61" ht="33.75" customHeight="1">
      <c r="A61" s="264"/>
      <c r="B61" s="308"/>
      <c r="C61" s="330">
        <v>2.0</v>
      </c>
      <c r="D61" s="377" t="s">
        <v>189</v>
      </c>
      <c r="E61" s="378">
        <v>12.0</v>
      </c>
      <c r="F61" s="379">
        <v>25.0</v>
      </c>
      <c r="G61" s="380"/>
      <c r="H61" s="381">
        <v>12.0</v>
      </c>
      <c r="I61" s="379">
        <v>25.0</v>
      </c>
      <c r="J61" s="339"/>
      <c r="K61" s="381">
        <v>14.0</v>
      </c>
      <c r="L61" s="379">
        <v>30.0</v>
      </c>
      <c r="M61" s="339"/>
      <c r="N61" s="339" t="s">
        <v>72</v>
      </c>
      <c r="O61" s="440">
        <v>46001.0</v>
      </c>
      <c r="P61" s="336" t="s">
        <v>97</v>
      </c>
      <c r="R61" s="25"/>
      <c r="S61" s="339">
        <v>3101.0</v>
      </c>
      <c r="T61" s="461" t="str">
        <f t="shared" si="5"/>
        <v>#VALUE!</v>
      </c>
      <c r="U61" s="422"/>
      <c r="V61" s="265"/>
    </row>
    <row r="62" ht="33.75" customHeight="1">
      <c r="A62" s="264"/>
      <c r="B62" s="308"/>
      <c r="C62" s="309">
        <v>3.0</v>
      </c>
      <c r="D62" s="382" t="s">
        <v>190</v>
      </c>
      <c r="E62" s="374">
        <v>12.0</v>
      </c>
      <c r="F62" s="383">
        <v>45.0</v>
      </c>
      <c r="G62" s="384"/>
      <c r="H62" s="385">
        <v>16.0</v>
      </c>
      <c r="I62" s="383">
        <v>45.0</v>
      </c>
      <c r="J62" s="344"/>
      <c r="K62" s="311"/>
      <c r="L62" s="342"/>
      <c r="M62" s="344"/>
      <c r="N62" s="344" t="s">
        <v>78</v>
      </c>
      <c r="O62" s="437" t="s">
        <v>134</v>
      </c>
      <c r="P62" s="100" t="s">
        <v>97</v>
      </c>
      <c r="R62" s="25"/>
      <c r="S62" s="473">
        <v>3001.0</v>
      </c>
      <c r="T62" s="319" t="str">
        <f t="shared" si="5"/>
        <v>#VALUE!</v>
      </c>
      <c r="U62" s="422"/>
      <c r="V62" s="265"/>
    </row>
    <row r="63" ht="33.75" customHeight="1">
      <c r="A63" s="264"/>
      <c r="B63" s="308"/>
      <c r="C63" s="330">
        <v>4.0</v>
      </c>
      <c r="D63" s="377" t="s">
        <v>191</v>
      </c>
      <c r="E63" s="378">
        <v>10.0</v>
      </c>
      <c r="F63" s="379">
        <v>120.0</v>
      </c>
      <c r="G63" s="380"/>
      <c r="H63" s="439">
        <v>9.0</v>
      </c>
      <c r="I63" s="379">
        <v>120.0</v>
      </c>
      <c r="J63" s="339"/>
      <c r="K63" s="332"/>
      <c r="L63" s="333"/>
      <c r="M63" s="339"/>
      <c r="N63" s="339">
        <v>2.0</v>
      </c>
      <c r="O63" s="440">
        <v>45938.0</v>
      </c>
      <c r="P63" s="332"/>
      <c r="Q63" s="332"/>
      <c r="R63" s="335"/>
      <c r="S63" s="339">
        <v>3001.0</v>
      </c>
      <c r="T63" s="425">
        <f t="shared" si="5"/>
        <v>94156</v>
      </c>
      <c r="U63" s="422"/>
      <c r="V63" s="265"/>
    </row>
    <row r="64" ht="33.75" customHeight="1">
      <c r="A64" s="264"/>
      <c r="B64" s="308"/>
      <c r="C64" s="309">
        <v>5.0</v>
      </c>
      <c r="D64" s="382" t="s">
        <v>192</v>
      </c>
      <c r="E64" s="374">
        <v>6.0</v>
      </c>
      <c r="F64" s="383">
        <v>80.0</v>
      </c>
      <c r="G64" s="384"/>
      <c r="H64" s="385">
        <v>8.0</v>
      </c>
      <c r="I64" s="383">
        <v>70.0</v>
      </c>
      <c r="J64" s="344"/>
      <c r="K64" s="311"/>
      <c r="L64" s="342"/>
      <c r="M64" s="344"/>
      <c r="N64" s="344">
        <v>2.0</v>
      </c>
      <c r="O64" s="432">
        <v>45510.0</v>
      </c>
      <c r="P64" s="218"/>
      <c r="R64" s="25"/>
      <c r="S64" s="473"/>
      <c r="T64" s="425">
        <f t="shared" si="5"/>
        <v>92060</v>
      </c>
      <c r="U64" s="422"/>
      <c r="V64" s="265"/>
    </row>
    <row r="65" ht="33.75" customHeight="1">
      <c r="A65" s="264"/>
      <c r="B65" s="308"/>
      <c r="C65" s="330">
        <v>6.0</v>
      </c>
      <c r="D65" s="331" t="s">
        <v>267</v>
      </c>
      <c r="E65" s="378">
        <v>12.0</v>
      </c>
      <c r="F65" s="379">
        <v>40.0</v>
      </c>
      <c r="G65" s="380"/>
      <c r="H65" s="381">
        <v>8.0</v>
      </c>
      <c r="I65" s="379">
        <v>40.0</v>
      </c>
      <c r="J65" s="339"/>
      <c r="K65" s="332"/>
      <c r="L65" s="338"/>
      <c r="M65" s="339"/>
      <c r="N65" s="339" t="s">
        <v>113</v>
      </c>
      <c r="O65" s="474">
        <v>45999.0</v>
      </c>
      <c r="P65" s="337" t="s">
        <v>97</v>
      </c>
      <c r="R65" s="25"/>
      <c r="S65" s="338">
        <v>3202.0</v>
      </c>
      <c r="T65" s="319" t="str">
        <f t="shared" si="5"/>
        <v>#VALUE!</v>
      </c>
      <c r="U65" s="422"/>
      <c r="V65" s="265"/>
    </row>
    <row r="66" ht="33.75" customHeight="1">
      <c r="A66" s="264"/>
      <c r="B66" s="361"/>
      <c r="C66" s="309">
        <v>7.0</v>
      </c>
      <c r="D66" s="382"/>
      <c r="E66" s="343"/>
      <c r="F66" s="342"/>
      <c r="G66" s="311"/>
      <c r="H66" s="343"/>
      <c r="I66" s="342"/>
      <c r="J66" s="318"/>
      <c r="K66" s="342"/>
      <c r="L66" s="342"/>
      <c r="M66" s="343"/>
      <c r="N66" s="25"/>
      <c r="O66" s="342"/>
      <c r="P66" s="246"/>
      <c r="Q66" s="97"/>
      <c r="R66" s="465"/>
      <c r="S66" s="246"/>
      <c r="T66" s="319">
        <f t="shared" si="5"/>
        <v>0</v>
      </c>
      <c r="U66" s="422"/>
      <c r="V66" s="265"/>
    </row>
    <row r="67" ht="28.5" customHeight="1">
      <c r="A67" s="265"/>
      <c r="B67" s="265"/>
      <c r="C67" s="265"/>
      <c r="D67" s="265"/>
      <c r="E67" s="265"/>
      <c r="F67" s="265"/>
      <c r="G67" s="265"/>
      <c r="H67" s="265"/>
      <c r="I67" s="265"/>
      <c r="J67" s="292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</row>
    <row r="68">
      <c r="A68" s="265"/>
      <c r="B68" s="265"/>
      <c r="C68" s="294" t="s">
        <v>209</v>
      </c>
      <c r="D68" s="295"/>
      <c r="E68" s="296" t="s">
        <v>257</v>
      </c>
      <c r="F68" s="297"/>
      <c r="G68" s="297"/>
      <c r="H68" s="297"/>
      <c r="I68" s="297"/>
      <c r="J68" s="297"/>
      <c r="K68" s="297"/>
      <c r="L68" s="297"/>
      <c r="M68" s="282"/>
      <c r="N68" s="298" t="s">
        <v>211</v>
      </c>
      <c r="O68" s="268"/>
      <c r="P68" s="57"/>
      <c r="Q68" s="286"/>
      <c r="R68" s="268"/>
      <c r="S68" s="57"/>
      <c r="T68" s="292"/>
      <c r="U68" s="265"/>
      <c r="V68" s="265"/>
    </row>
    <row r="69">
      <c r="A69" s="402"/>
      <c r="B69" s="265"/>
      <c r="C69" s="301" t="s">
        <v>214</v>
      </c>
      <c r="D69" s="405">
        <v>46006.0</v>
      </c>
      <c r="E69" s="303" t="s">
        <v>215</v>
      </c>
      <c r="F69" s="22"/>
      <c r="G69" s="28"/>
      <c r="H69" s="304" t="s">
        <v>216</v>
      </c>
      <c r="I69" s="297"/>
      <c r="J69" s="282"/>
      <c r="K69" s="304" t="s">
        <v>217</v>
      </c>
      <c r="L69" s="297"/>
      <c r="M69" s="282"/>
      <c r="N69" s="304" t="s">
        <v>218</v>
      </c>
      <c r="O69" s="297"/>
      <c r="P69" s="282"/>
      <c r="Q69" s="304" t="s">
        <v>219</v>
      </c>
      <c r="R69" s="297"/>
      <c r="S69" s="282"/>
      <c r="T69" s="265"/>
      <c r="U69" s="265"/>
      <c r="V69" s="265"/>
    </row>
    <row r="70">
      <c r="A70" s="402"/>
      <c r="B70" s="457" t="s">
        <v>249</v>
      </c>
      <c r="C70" s="306" t="s">
        <v>221</v>
      </c>
      <c r="D70" s="306" t="s">
        <v>222</v>
      </c>
      <c r="E70" s="301" t="s">
        <v>223</v>
      </c>
      <c r="F70" s="301" t="s">
        <v>224</v>
      </c>
      <c r="G70" s="301" t="s">
        <v>66</v>
      </c>
      <c r="H70" s="301" t="s">
        <v>223</v>
      </c>
      <c r="I70" s="301" t="s">
        <v>224</v>
      </c>
      <c r="J70" s="301" t="s">
        <v>66</v>
      </c>
      <c r="K70" s="301" t="s">
        <v>223</v>
      </c>
      <c r="L70" s="301" t="s">
        <v>224</v>
      </c>
      <c r="M70" s="301" t="s">
        <v>66</v>
      </c>
      <c r="N70" s="301" t="s">
        <v>223</v>
      </c>
      <c r="O70" s="301" t="s">
        <v>224</v>
      </c>
      <c r="P70" s="301" t="s">
        <v>66</v>
      </c>
      <c r="Q70" s="301" t="s">
        <v>223</v>
      </c>
      <c r="R70" s="301" t="s">
        <v>224</v>
      </c>
      <c r="S70" s="301" t="s">
        <v>66</v>
      </c>
      <c r="T70" s="307" t="s">
        <v>225</v>
      </c>
      <c r="U70" s="421" t="s">
        <v>263</v>
      </c>
      <c r="V70" s="265"/>
    </row>
    <row r="71" ht="33.75" customHeight="1">
      <c r="A71" s="264"/>
      <c r="B71" s="308"/>
      <c r="C71" s="309">
        <v>1.0</v>
      </c>
      <c r="D71" s="373" t="s">
        <v>127</v>
      </c>
      <c r="E71" s="256">
        <v>16.0</v>
      </c>
      <c r="F71" s="312">
        <v>10.0</v>
      </c>
      <c r="G71" s="318"/>
      <c r="H71" s="313">
        <v>14.0</v>
      </c>
      <c r="I71" s="312">
        <v>7.0</v>
      </c>
      <c r="J71" s="317"/>
      <c r="K71" s="312"/>
      <c r="L71" s="209"/>
      <c r="M71" s="218"/>
      <c r="N71" s="218"/>
      <c r="O71" s="316"/>
      <c r="P71" s="316"/>
      <c r="Q71" s="318"/>
      <c r="R71" s="316"/>
      <c r="S71" s="318"/>
      <c r="T71" s="425">
        <f t="shared" ref="T71:T77" si="6">(E71*F71)+(H71*I71)+(K71*L71)+(N71*O71)+(Q71*R71)</f>
        <v>258</v>
      </c>
      <c r="U71" s="422"/>
      <c r="V71" s="265"/>
    </row>
    <row r="72" ht="33.75" customHeight="1">
      <c r="A72" s="264"/>
      <c r="B72" s="308"/>
      <c r="C72" s="330">
        <v>2.0</v>
      </c>
      <c r="D72" s="377" t="s">
        <v>178</v>
      </c>
      <c r="E72" s="423">
        <v>8.0</v>
      </c>
      <c r="F72" s="333">
        <v>40.0</v>
      </c>
      <c r="G72" s="336"/>
      <c r="H72" s="334">
        <v>7.0</v>
      </c>
      <c r="I72" s="333">
        <v>45.0</v>
      </c>
      <c r="J72" s="339"/>
      <c r="K72" s="333"/>
      <c r="L72" s="459"/>
      <c r="M72" s="455"/>
      <c r="O72" s="338"/>
      <c r="P72" s="338"/>
      <c r="Q72" s="336"/>
      <c r="R72" s="338"/>
      <c r="S72" s="336"/>
      <c r="T72" s="425">
        <f t="shared" si="6"/>
        <v>635</v>
      </c>
      <c r="U72" s="422"/>
      <c r="V72" s="265"/>
    </row>
    <row r="73" ht="33.75" customHeight="1">
      <c r="A73" s="264"/>
      <c r="B73" s="308"/>
      <c r="C73" s="309">
        <v>3.0</v>
      </c>
      <c r="D73" s="382" t="s">
        <v>179</v>
      </c>
      <c r="E73" s="259">
        <v>8.0</v>
      </c>
      <c r="F73" s="383">
        <v>60.0</v>
      </c>
      <c r="G73" s="318"/>
      <c r="H73" s="343">
        <v>7.0</v>
      </c>
      <c r="I73" s="342">
        <v>60.0</v>
      </c>
      <c r="J73" s="344"/>
      <c r="K73" s="342"/>
      <c r="L73" s="236"/>
      <c r="M73" s="218"/>
      <c r="N73" s="218"/>
      <c r="O73" s="346"/>
      <c r="P73" s="346"/>
      <c r="Q73" s="318"/>
      <c r="R73" s="346"/>
      <c r="S73" s="318"/>
      <c r="T73" s="425">
        <f t="shared" si="6"/>
        <v>900</v>
      </c>
      <c r="U73" s="422"/>
      <c r="V73" s="265"/>
    </row>
    <row r="74" ht="33.75" customHeight="1">
      <c r="A74" s="264"/>
      <c r="B74" s="308"/>
      <c r="C74" s="330">
        <v>4.0</v>
      </c>
      <c r="D74" s="377" t="s">
        <v>180</v>
      </c>
      <c r="E74" s="423">
        <v>10.0</v>
      </c>
      <c r="F74" s="379">
        <v>30.0</v>
      </c>
      <c r="G74" s="336"/>
      <c r="H74" s="334">
        <v>10.0</v>
      </c>
      <c r="I74" s="333">
        <v>30.0</v>
      </c>
      <c r="J74" s="339"/>
      <c r="K74" s="333"/>
      <c r="L74" s="459"/>
      <c r="M74" s="462"/>
      <c r="N74" s="462"/>
      <c r="O74" s="338"/>
      <c r="P74" s="338"/>
      <c r="Q74" s="336"/>
      <c r="R74" s="338"/>
      <c r="S74" s="336"/>
      <c r="T74" s="425">
        <f t="shared" si="6"/>
        <v>600</v>
      </c>
      <c r="U74" s="422"/>
      <c r="V74" s="265"/>
    </row>
    <row r="75" ht="33.75" customHeight="1">
      <c r="A75" s="264"/>
      <c r="B75" s="308"/>
      <c r="C75" s="309">
        <v>5.0</v>
      </c>
      <c r="D75" s="382" t="s">
        <v>141</v>
      </c>
      <c r="E75" s="259">
        <v>12.0</v>
      </c>
      <c r="F75" s="383">
        <v>15.0</v>
      </c>
      <c r="G75" s="318"/>
      <c r="H75" s="343">
        <v>9.0</v>
      </c>
      <c r="I75" s="342">
        <v>15.0</v>
      </c>
      <c r="J75" s="344"/>
      <c r="K75" s="342"/>
      <c r="L75" s="463"/>
      <c r="M75" s="241"/>
      <c r="N75" s="241"/>
      <c r="O75" s="346"/>
      <c r="P75" s="346"/>
      <c r="Q75" s="318"/>
      <c r="R75" s="346"/>
      <c r="S75" s="318"/>
      <c r="T75" s="425">
        <f t="shared" si="6"/>
        <v>315</v>
      </c>
      <c r="U75" s="422"/>
      <c r="V75" s="265"/>
    </row>
    <row r="76" ht="33.75" customHeight="1">
      <c r="A76" s="264"/>
      <c r="B76" s="308"/>
      <c r="C76" s="330">
        <v>6.0</v>
      </c>
      <c r="D76" s="331" t="s">
        <v>139</v>
      </c>
      <c r="E76" s="423">
        <v>12.0</v>
      </c>
      <c r="F76" s="379">
        <v>30.0</v>
      </c>
      <c r="G76" s="336"/>
      <c r="H76" s="334">
        <v>14.0</v>
      </c>
      <c r="I76" s="333">
        <v>30.0</v>
      </c>
      <c r="J76" s="339"/>
      <c r="K76" s="338"/>
      <c r="L76" s="436"/>
      <c r="M76" s="455"/>
      <c r="O76" s="338"/>
      <c r="P76" s="338"/>
      <c r="Q76" s="336"/>
      <c r="R76" s="338"/>
      <c r="S76" s="336"/>
      <c r="T76" s="319">
        <f t="shared" si="6"/>
        <v>780</v>
      </c>
      <c r="U76" s="422"/>
      <c r="V76" s="265"/>
    </row>
    <row r="77" ht="33.75" customHeight="1">
      <c r="A77" s="264"/>
      <c r="B77" s="361"/>
      <c r="C77" s="309">
        <v>7.0</v>
      </c>
      <c r="D77" s="382" t="s">
        <v>88</v>
      </c>
      <c r="E77" s="259">
        <v>12.0</v>
      </c>
      <c r="F77" s="383">
        <v>8.0</v>
      </c>
      <c r="G77" s="318"/>
      <c r="H77" s="343">
        <v>11.0</v>
      </c>
      <c r="I77" s="342">
        <v>8.0</v>
      </c>
      <c r="J77" s="344"/>
      <c r="K77" s="342"/>
      <c r="L77" s="244"/>
      <c r="M77" s="97"/>
      <c r="O77" s="346"/>
      <c r="P77" s="346"/>
      <c r="Q77" s="318"/>
      <c r="R77" s="346"/>
      <c r="S77" s="318"/>
      <c r="T77" s="319">
        <f t="shared" si="6"/>
        <v>184</v>
      </c>
      <c r="U77" s="422"/>
      <c r="V77" s="265"/>
    </row>
    <row r="78" ht="39.0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7"/>
      <c r="B79" s="265"/>
      <c r="C79" s="294" t="s">
        <v>209</v>
      </c>
      <c r="D79" s="295"/>
      <c r="E79" s="296" t="s">
        <v>248</v>
      </c>
      <c r="F79" s="297"/>
      <c r="G79" s="297"/>
      <c r="H79" s="297"/>
      <c r="I79" s="297"/>
      <c r="J79" s="297"/>
      <c r="K79" s="297"/>
      <c r="L79" s="297"/>
      <c r="M79" s="282"/>
      <c r="N79" s="298" t="s">
        <v>211</v>
      </c>
      <c r="O79" s="268"/>
      <c r="P79" s="57"/>
      <c r="Q79" s="286"/>
      <c r="R79" s="268"/>
      <c r="S79" s="57"/>
      <c r="T79" s="292"/>
      <c r="U79" s="265"/>
      <c r="V79" s="265"/>
    </row>
    <row r="80">
      <c r="A80" s="37"/>
      <c r="B80" s="265"/>
      <c r="C80" s="301" t="s">
        <v>214</v>
      </c>
      <c r="D80" s="302">
        <v>46008.0</v>
      </c>
      <c r="E80" s="303" t="s">
        <v>215</v>
      </c>
      <c r="F80" s="22"/>
      <c r="G80" s="28"/>
      <c r="H80" s="304" t="s">
        <v>216</v>
      </c>
      <c r="I80" s="297"/>
      <c r="J80" s="282"/>
      <c r="K80" s="304"/>
      <c r="L80" s="297"/>
      <c r="M80" s="282"/>
      <c r="N80" s="304"/>
      <c r="O80" s="297"/>
      <c r="P80" s="282"/>
      <c r="Q80" s="304" t="s">
        <v>219</v>
      </c>
      <c r="R80" s="297"/>
      <c r="S80" s="282"/>
      <c r="T80" s="265"/>
      <c r="U80" s="265"/>
      <c r="V80" s="265"/>
    </row>
    <row r="81">
      <c r="A81" s="37"/>
      <c r="B81" s="456" t="s">
        <v>251</v>
      </c>
      <c r="C81" s="306" t="s">
        <v>221</v>
      </c>
      <c r="D81" s="306" t="s">
        <v>222</v>
      </c>
      <c r="E81" s="301" t="s">
        <v>223</v>
      </c>
      <c r="F81" s="301" t="s">
        <v>224</v>
      </c>
      <c r="G81" s="301" t="s">
        <v>66</v>
      </c>
      <c r="H81" s="301" t="s">
        <v>223</v>
      </c>
      <c r="I81" s="301" t="s">
        <v>224</v>
      </c>
      <c r="J81" s="301" t="s">
        <v>66</v>
      </c>
      <c r="K81" s="301" t="s">
        <v>64</v>
      </c>
      <c r="L81" s="301" t="s">
        <v>223</v>
      </c>
      <c r="M81" s="444" t="s">
        <v>266</v>
      </c>
      <c r="N81" s="282"/>
      <c r="O81" s="301"/>
      <c r="P81" s="301"/>
      <c r="Q81" s="301"/>
      <c r="R81" s="301"/>
      <c r="S81" s="466"/>
      <c r="T81" s="307" t="s">
        <v>225</v>
      </c>
      <c r="U81" s="421" t="s">
        <v>263</v>
      </c>
      <c r="V81" s="265"/>
    </row>
    <row r="82">
      <c r="A82" s="37"/>
      <c r="B82" s="308"/>
      <c r="C82" s="309">
        <v>1.0</v>
      </c>
      <c r="D82" s="373" t="s">
        <v>130</v>
      </c>
      <c r="E82" s="259">
        <v>12.0</v>
      </c>
      <c r="F82" s="375">
        <v>12.0</v>
      </c>
      <c r="G82" s="384"/>
      <c r="H82" s="376">
        <v>12.0</v>
      </c>
      <c r="I82" s="375">
        <v>12.0</v>
      </c>
      <c r="J82" s="315"/>
      <c r="K82" s="316">
        <v>2.0</v>
      </c>
      <c r="L82" s="236">
        <v>45999.0</v>
      </c>
      <c r="M82" s="346"/>
      <c r="N82" s="317"/>
      <c r="O82" s="316"/>
      <c r="P82" s="316"/>
      <c r="Q82" s="222"/>
      <c r="R82" s="316"/>
      <c r="S82" s="316"/>
      <c r="T82" s="546">
        <f t="shared" ref="T82:T85" si="7">(E82*F82)+(H82*I82)+(K82*L82)+(N82*O82)+(Q82*R82)</f>
        <v>92286</v>
      </c>
      <c r="U82" s="422"/>
      <c r="V82" s="265"/>
    </row>
    <row r="83">
      <c r="A83" s="37"/>
      <c r="B83" s="308"/>
      <c r="C83" s="330">
        <v>2.0</v>
      </c>
      <c r="D83" s="377" t="s">
        <v>183</v>
      </c>
      <c r="E83" s="423">
        <v>12.0</v>
      </c>
      <c r="F83" s="379">
        <v>12.0</v>
      </c>
      <c r="G83" s="380"/>
      <c r="H83" s="381">
        <v>16.0</v>
      </c>
      <c r="I83" s="379">
        <v>12.0</v>
      </c>
      <c r="J83" s="337"/>
      <c r="K83" s="338" t="s">
        <v>78</v>
      </c>
      <c r="L83" s="436" t="s">
        <v>134</v>
      </c>
      <c r="M83" s="337" t="s">
        <v>73</v>
      </c>
      <c r="N83" s="25"/>
      <c r="O83" s="338">
        <v>3101.0</v>
      </c>
      <c r="P83" s="338"/>
      <c r="Q83" s="436"/>
      <c r="R83" s="338"/>
      <c r="S83" s="338"/>
      <c r="T83" s="467" t="str">
        <f t="shared" si="7"/>
        <v>#VALUE!</v>
      </c>
      <c r="U83" s="422"/>
      <c r="V83" s="265"/>
    </row>
    <row r="84">
      <c r="A84" s="37"/>
      <c r="B84" s="308"/>
      <c r="C84" s="309">
        <v>3.0</v>
      </c>
      <c r="D84" s="382" t="s">
        <v>131</v>
      </c>
      <c r="E84" s="259">
        <v>12.0</v>
      </c>
      <c r="F84" s="383">
        <v>55.0</v>
      </c>
      <c r="H84" s="385">
        <v>9.0</v>
      </c>
      <c r="I84" s="383">
        <v>55.0</v>
      </c>
      <c r="J84" s="345"/>
      <c r="K84" s="346">
        <v>2.0</v>
      </c>
      <c r="L84" s="209">
        <v>45634.0</v>
      </c>
      <c r="M84" s="346"/>
      <c r="N84" s="318"/>
      <c r="O84" s="346"/>
      <c r="P84" s="346"/>
      <c r="Q84" s="209"/>
      <c r="R84" s="346"/>
      <c r="S84" s="346"/>
      <c r="T84" s="319">
        <f t="shared" si="7"/>
        <v>92423</v>
      </c>
      <c r="U84" s="422"/>
      <c r="V84" s="265"/>
    </row>
    <row r="85">
      <c r="A85" s="37"/>
      <c r="B85" s="308"/>
      <c r="C85" s="330">
        <v>4.0</v>
      </c>
      <c r="D85" s="377" t="s">
        <v>106</v>
      </c>
      <c r="E85" s="423">
        <v>10.0</v>
      </c>
      <c r="F85" s="379">
        <v>60.0</v>
      </c>
      <c r="G85" s="380"/>
      <c r="H85" s="381">
        <v>8.0</v>
      </c>
      <c r="I85" s="379">
        <v>60.0</v>
      </c>
      <c r="J85" s="337"/>
      <c r="K85" s="338">
        <v>2.0</v>
      </c>
      <c r="L85" s="459">
        <v>45573.0</v>
      </c>
      <c r="M85" s="338"/>
      <c r="N85" s="336"/>
      <c r="O85" s="338">
        <v>3101.0</v>
      </c>
      <c r="P85" s="338"/>
      <c r="Q85" s="459"/>
      <c r="R85" s="338"/>
      <c r="S85" s="338"/>
      <c r="T85" s="319">
        <f t="shared" si="7"/>
        <v>92226</v>
      </c>
      <c r="U85" s="422"/>
      <c r="V85" s="265"/>
    </row>
    <row r="86">
      <c r="A86" s="37"/>
      <c r="B86" s="308"/>
      <c r="C86" s="309">
        <v>5.0</v>
      </c>
      <c r="D86" s="382" t="s">
        <v>185</v>
      </c>
      <c r="E86" s="244">
        <v>12.0</v>
      </c>
      <c r="F86" s="383">
        <v>70.0</v>
      </c>
      <c r="G86" s="384"/>
      <c r="H86" s="385">
        <v>10.0</v>
      </c>
      <c r="I86" s="383">
        <v>70.0</v>
      </c>
      <c r="J86" s="345"/>
      <c r="K86" s="346">
        <v>2.0</v>
      </c>
      <c r="L86" s="239">
        <v>45636.0</v>
      </c>
      <c r="M86" s="346"/>
      <c r="N86" s="344"/>
      <c r="O86" s="346"/>
      <c r="P86" s="346"/>
      <c r="Q86" s="239"/>
      <c r="R86" s="346"/>
      <c r="S86" s="346"/>
      <c r="T86" s="467" t="str">
        <f t="shared" ref="T86:T88" si="8">(E86*F86)+(H86*I86)+(K86*L86)+(N86*O86)+(#REF!*R86)</f>
        <v>#REF!</v>
      </c>
      <c r="U86" s="422"/>
      <c r="V86" s="265"/>
    </row>
    <row r="87">
      <c r="A87" s="37"/>
      <c r="B87" s="308"/>
      <c r="C87" s="330">
        <v>6.0</v>
      </c>
      <c r="D87" s="331" t="s">
        <v>186</v>
      </c>
      <c r="E87" s="423">
        <v>12.0</v>
      </c>
      <c r="F87" s="379">
        <v>70.0</v>
      </c>
      <c r="G87" s="380"/>
      <c r="H87" s="381">
        <v>12.0</v>
      </c>
      <c r="I87" s="379">
        <v>70.0</v>
      </c>
      <c r="J87" s="337"/>
      <c r="K87" s="338">
        <v>2.0</v>
      </c>
      <c r="L87" s="424">
        <v>46001.0</v>
      </c>
      <c r="M87" s="338"/>
      <c r="N87" s="336"/>
      <c r="O87" s="338"/>
      <c r="P87" s="338"/>
      <c r="Q87" s="424"/>
      <c r="R87" s="338"/>
      <c r="S87" s="338"/>
      <c r="T87" s="319" t="str">
        <f t="shared" si="8"/>
        <v>#REF!</v>
      </c>
      <c r="U87" s="422"/>
      <c r="V87" s="265"/>
    </row>
    <row r="88" ht="40.5" customHeight="1">
      <c r="A88" s="37"/>
      <c r="B88" s="308"/>
      <c r="C88" s="309">
        <v>7.0</v>
      </c>
      <c r="D88" s="382" t="s">
        <v>187</v>
      </c>
      <c r="E88" s="259">
        <v>12.0</v>
      </c>
      <c r="F88" s="342">
        <v>15.0</v>
      </c>
      <c r="G88" s="318"/>
      <c r="H88" s="343">
        <v>10.0</v>
      </c>
      <c r="I88" s="342">
        <v>15.0</v>
      </c>
      <c r="J88" s="345"/>
      <c r="K88" s="346" t="s">
        <v>78</v>
      </c>
      <c r="L88" s="236">
        <v>45999.0</v>
      </c>
      <c r="M88" s="100" t="s">
        <v>73</v>
      </c>
      <c r="O88" s="261">
        <v>3101.0</v>
      </c>
      <c r="P88" s="346"/>
      <c r="Q88" s="318"/>
      <c r="R88" s="346"/>
      <c r="S88" s="318"/>
      <c r="T88" s="319" t="str">
        <f t="shared" si="8"/>
        <v>#VALUE!</v>
      </c>
      <c r="U88" s="422"/>
      <c r="V88" s="265"/>
    </row>
    <row r="89" ht="27.0" customHeight="1">
      <c r="A89" s="36"/>
      <c r="B89" s="547"/>
      <c r="C89" s="548"/>
      <c r="D89" s="549"/>
      <c r="E89" s="550"/>
      <c r="F89" s="551"/>
      <c r="G89" s="552"/>
      <c r="H89" s="553"/>
      <c r="I89" s="551"/>
      <c r="J89" s="554"/>
      <c r="K89" s="555"/>
      <c r="L89" s="556"/>
      <c r="M89" s="557"/>
      <c r="N89" s="558"/>
      <c r="O89" s="559"/>
      <c r="P89" s="552"/>
      <c r="Q89" s="552"/>
      <c r="R89" s="552"/>
      <c r="S89" s="552"/>
      <c r="T89" s="560"/>
      <c r="U89" s="560"/>
      <c r="V89" s="560"/>
    </row>
    <row r="90">
      <c r="A90" s="37"/>
      <c r="B90" s="265"/>
      <c r="C90" s="294" t="s">
        <v>209</v>
      </c>
      <c r="D90" s="295"/>
      <c r="E90" s="296" t="s">
        <v>210</v>
      </c>
      <c r="F90" s="297"/>
      <c r="G90" s="297"/>
      <c r="H90" s="297"/>
      <c r="I90" s="297"/>
      <c r="J90" s="297"/>
      <c r="K90" s="297"/>
      <c r="L90" s="297"/>
      <c r="M90" s="282"/>
      <c r="N90" s="298" t="s">
        <v>211</v>
      </c>
      <c r="O90" s="268"/>
      <c r="P90" s="57"/>
      <c r="Q90" s="286"/>
      <c r="R90" s="268"/>
      <c r="S90" s="57"/>
      <c r="T90" s="292"/>
      <c r="U90" s="265"/>
      <c r="V90" s="265"/>
    </row>
    <row r="91">
      <c r="A91" s="37"/>
      <c r="B91" s="265"/>
      <c r="C91" s="301" t="s">
        <v>214</v>
      </c>
      <c r="D91" s="372">
        <v>46009.0</v>
      </c>
      <c r="E91" s="303" t="s">
        <v>215</v>
      </c>
      <c r="F91" s="22"/>
      <c r="G91" s="28"/>
      <c r="H91" s="304" t="s">
        <v>216</v>
      </c>
      <c r="I91" s="297"/>
      <c r="J91" s="282"/>
      <c r="K91" s="304"/>
      <c r="L91" s="297"/>
      <c r="M91" s="282"/>
      <c r="N91" s="304"/>
      <c r="O91" s="297"/>
      <c r="P91" s="282"/>
      <c r="Q91" s="304"/>
      <c r="R91" s="297"/>
      <c r="S91" s="282"/>
      <c r="T91" s="265"/>
      <c r="U91" s="265"/>
      <c r="V91" s="265"/>
    </row>
    <row r="92">
      <c r="A92" s="37"/>
      <c r="B92" s="458" t="s">
        <v>255</v>
      </c>
      <c r="C92" s="306" t="s">
        <v>221</v>
      </c>
      <c r="D92" s="306" t="s">
        <v>222</v>
      </c>
      <c r="E92" s="301" t="s">
        <v>223</v>
      </c>
      <c r="F92" s="301" t="s">
        <v>224</v>
      </c>
      <c r="G92" s="301" t="s">
        <v>66</v>
      </c>
      <c r="H92" s="301" t="s">
        <v>223</v>
      </c>
      <c r="I92" s="301" t="s">
        <v>224</v>
      </c>
      <c r="J92" s="301" t="s">
        <v>66</v>
      </c>
      <c r="K92" s="301" t="s">
        <v>268</v>
      </c>
      <c r="L92" s="301" t="s">
        <v>269</v>
      </c>
      <c r="M92" s="468" t="s">
        <v>270</v>
      </c>
      <c r="N92" s="282"/>
      <c r="O92" s="301" t="s">
        <v>271</v>
      </c>
      <c r="P92" s="301"/>
      <c r="Q92" s="301"/>
      <c r="R92" s="301"/>
      <c r="S92" s="301"/>
      <c r="T92" s="307" t="s">
        <v>225</v>
      </c>
      <c r="U92" s="421" t="s">
        <v>263</v>
      </c>
      <c r="V92" s="265"/>
    </row>
    <row r="93">
      <c r="A93" s="37"/>
      <c r="B93" s="308"/>
      <c r="C93" s="561">
        <v>1.0</v>
      </c>
      <c r="D93" s="506" t="s">
        <v>167</v>
      </c>
      <c r="E93" s="507">
        <v>16.0</v>
      </c>
      <c r="F93" s="508">
        <v>55.0</v>
      </c>
      <c r="G93" s="509"/>
      <c r="H93" s="507">
        <v>20.0</v>
      </c>
      <c r="I93" s="510">
        <v>50.0</v>
      </c>
      <c r="J93" s="509"/>
      <c r="K93" s="508">
        <v>2.0</v>
      </c>
      <c r="L93" s="507" t="s">
        <v>134</v>
      </c>
      <c r="M93" s="511" t="s">
        <v>124</v>
      </c>
      <c r="N93" s="25"/>
      <c r="O93" s="512"/>
      <c r="P93" s="316"/>
      <c r="Q93" s="222"/>
      <c r="R93" s="316"/>
      <c r="S93" s="316"/>
      <c r="T93" s="319" t="str">
        <f>(E93*F93)+(H93*I93)+(O93*L93)+(N93*#REF!)+(#REF!*R93)</f>
        <v>#VALUE!</v>
      </c>
      <c r="U93" s="422"/>
      <c r="V93" s="265"/>
    </row>
    <row r="94">
      <c r="A94" s="37"/>
      <c r="B94" s="308"/>
      <c r="C94" s="562">
        <v>2.0</v>
      </c>
      <c r="D94" s="515" t="s">
        <v>169</v>
      </c>
      <c r="E94" s="516">
        <v>14.0</v>
      </c>
      <c r="F94" s="517">
        <v>15.0</v>
      </c>
      <c r="G94" s="518"/>
      <c r="H94" s="519">
        <v>18.0</v>
      </c>
      <c r="I94" s="520">
        <v>15.0</v>
      </c>
      <c r="J94" s="518"/>
      <c r="K94" s="517" t="s">
        <v>78</v>
      </c>
      <c r="L94" s="519" t="s">
        <v>134</v>
      </c>
      <c r="M94" s="521" t="s">
        <v>73</v>
      </c>
      <c r="N94" s="25"/>
      <c r="O94" s="522"/>
      <c r="P94" s="338"/>
      <c r="Q94" s="436"/>
      <c r="R94" s="338"/>
      <c r="S94" s="338"/>
      <c r="T94" s="319" t="str">
        <f t="shared" ref="T94:T95" si="9">(E94*F94)+(H94*I94)+(O94*L94)+(N94*#REF!)+(Q94*R94)</f>
        <v>#VALUE!</v>
      </c>
      <c r="U94" s="422"/>
      <c r="V94" s="265"/>
    </row>
    <row r="95">
      <c r="A95" s="37"/>
      <c r="B95" s="308"/>
      <c r="C95" s="561">
        <v>3.0</v>
      </c>
      <c r="D95" s="506" t="s">
        <v>170</v>
      </c>
      <c r="E95" s="507">
        <v>8.0</v>
      </c>
      <c r="F95" s="508">
        <v>90.0</v>
      </c>
      <c r="G95" s="509"/>
      <c r="H95" s="507">
        <v>8.0</v>
      </c>
      <c r="I95" s="523">
        <v>90.0</v>
      </c>
      <c r="J95" s="509"/>
      <c r="K95" s="508">
        <v>2.0</v>
      </c>
      <c r="L95" s="524">
        <v>45510.0</v>
      </c>
      <c r="M95" s="509"/>
      <c r="N95" s="187"/>
      <c r="O95" s="525"/>
      <c r="P95" s="346"/>
      <c r="Q95" s="209"/>
      <c r="R95" s="346"/>
      <c r="S95" s="346"/>
      <c r="T95" s="319" t="str">
        <f t="shared" si="9"/>
        <v>#REF!</v>
      </c>
      <c r="U95" s="422"/>
      <c r="V95" s="265"/>
    </row>
    <row r="96">
      <c r="A96" s="37"/>
      <c r="B96" s="308"/>
      <c r="C96" s="562">
        <v>4.0</v>
      </c>
      <c r="D96" s="515" t="s">
        <v>171</v>
      </c>
      <c r="E96" s="519">
        <v>10.0</v>
      </c>
      <c r="F96" s="563">
        <v>180.0</v>
      </c>
      <c r="G96" s="518"/>
      <c r="H96" s="519">
        <v>10.0</v>
      </c>
      <c r="I96" s="564">
        <v>180.0</v>
      </c>
      <c r="J96" s="518"/>
      <c r="K96" s="517">
        <v>2.0</v>
      </c>
      <c r="L96" s="526">
        <v>45573.0</v>
      </c>
      <c r="M96" s="518"/>
      <c r="N96" s="527"/>
      <c r="O96" s="522"/>
      <c r="P96" s="338"/>
      <c r="Q96" s="459"/>
      <c r="R96" s="338"/>
      <c r="S96" s="338"/>
      <c r="T96" s="319" t="str">
        <f t="shared" ref="T96:T97" si="10">(E96*F96)+(H96*I96)+(O96*L96)+(N96*#REF!)+(#REF!*R96)</f>
        <v>#REF!</v>
      </c>
      <c r="U96" s="422"/>
      <c r="V96" s="265"/>
    </row>
    <row r="97">
      <c r="A97" s="37"/>
      <c r="B97" s="308"/>
      <c r="C97" s="561">
        <v>5.0</v>
      </c>
      <c r="D97" s="506" t="s">
        <v>172</v>
      </c>
      <c r="E97" s="529">
        <v>12.0</v>
      </c>
      <c r="F97" s="508">
        <v>70.0</v>
      </c>
      <c r="G97" s="509"/>
      <c r="H97" s="529">
        <v>14.0</v>
      </c>
      <c r="I97" s="510">
        <v>70.0</v>
      </c>
      <c r="J97" s="509"/>
      <c r="K97" s="508" t="s">
        <v>78</v>
      </c>
      <c r="L97" s="530">
        <v>45636.0</v>
      </c>
      <c r="M97" s="511" t="s">
        <v>73</v>
      </c>
      <c r="N97" s="25"/>
      <c r="O97" s="531"/>
      <c r="P97" s="346"/>
      <c r="Q97" s="239"/>
      <c r="R97" s="346"/>
      <c r="S97" s="346"/>
      <c r="T97" s="319" t="str">
        <f t="shared" si="10"/>
        <v>#REF!</v>
      </c>
      <c r="U97" s="422"/>
      <c r="V97" s="265"/>
    </row>
    <row r="98">
      <c r="A98" s="37"/>
      <c r="B98" s="308"/>
      <c r="C98" s="562">
        <v>6.0</v>
      </c>
      <c r="D98" s="515" t="s">
        <v>174</v>
      </c>
      <c r="E98" s="519">
        <v>12.0</v>
      </c>
      <c r="F98" s="517">
        <v>22.5</v>
      </c>
      <c r="G98" s="518"/>
      <c r="H98" s="519">
        <v>10.0</v>
      </c>
      <c r="I98" s="520">
        <v>22.5</v>
      </c>
      <c r="J98" s="518"/>
      <c r="K98" s="517">
        <v>2.0</v>
      </c>
      <c r="L98" s="526">
        <v>45999.0</v>
      </c>
      <c r="M98" s="518"/>
      <c r="N98" s="527"/>
      <c r="O98" s="522"/>
      <c r="P98" s="338"/>
      <c r="Q98" s="424"/>
      <c r="R98" s="338"/>
      <c r="S98" s="338"/>
      <c r="T98" s="319" t="str">
        <f>(E98*F98)+(H98*I98)+(O98*L98)+(N98*#REF!)+(Q98*R98)</f>
        <v>#REF!</v>
      </c>
      <c r="U98" s="422"/>
      <c r="V98" s="265"/>
    </row>
    <row r="99" ht="37.5" customHeight="1">
      <c r="A99" s="37"/>
      <c r="B99" s="308"/>
      <c r="C99" s="561">
        <v>7.0</v>
      </c>
      <c r="D99" s="382"/>
      <c r="E99" s="259"/>
      <c r="F99" s="383"/>
      <c r="G99" s="318"/>
      <c r="H99" s="343"/>
      <c r="I99" s="342"/>
      <c r="J99" s="318"/>
      <c r="K99" s="342"/>
      <c r="L99" s="342"/>
      <c r="M99" s="343"/>
      <c r="N99" s="25"/>
      <c r="O99" s="342"/>
      <c r="P99" s="342"/>
      <c r="Q99" s="342"/>
      <c r="R99" s="342"/>
      <c r="S99" s="342"/>
      <c r="T99" s="319" t="str">
        <f>(E99*F99)+(H99*I99)+(O99*L99)+(N99*#REF!)+(#REF!*R99)</f>
        <v>#REF!</v>
      </c>
      <c r="U99" s="422"/>
      <c r="V99" s="265"/>
    </row>
    <row r="100">
      <c r="A100" s="37"/>
      <c r="B100" s="368"/>
      <c r="C100" s="265"/>
      <c r="D100" s="265"/>
      <c r="E100" s="265"/>
      <c r="F100" s="265"/>
      <c r="G100" s="265"/>
      <c r="H100" s="265"/>
      <c r="I100" s="265"/>
      <c r="J100" s="265"/>
      <c r="K100" s="292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</row>
    <row r="101">
      <c r="A101" s="37"/>
      <c r="B101" s="368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</row>
    <row r="102">
      <c r="A102" s="37"/>
      <c r="B102" s="265"/>
      <c r="C102" s="294" t="s">
        <v>209</v>
      </c>
      <c r="D102" s="295"/>
      <c r="E102" s="296" t="s">
        <v>233</v>
      </c>
      <c r="F102" s="297"/>
      <c r="G102" s="297"/>
      <c r="H102" s="297"/>
      <c r="I102" s="297"/>
      <c r="J102" s="297"/>
      <c r="K102" s="297"/>
      <c r="L102" s="297"/>
      <c r="M102" s="282"/>
      <c r="N102" s="298" t="s">
        <v>211</v>
      </c>
      <c r="O102" s="268"/>
      <c r="P102" s="57"/>
      <c r="Q102" s="286"/>
      <c r="R102" s="268"/>
      <c r="S102" s="57"/>
      <c r="T102" s="292"/>
      <c r="U102" s="265"/>
      <c r="V102" s="265"/>
    </row>
    <row r="103">
      <c r="A103" s="37"/>
      <c r="B103" s="265"/>
      <c r="C103" s="301" t="s">
        <v>214</v>
      </c>
      <c r="D103" s="372">
        <v>46013.0</v>
      </c>
      <c r="E103" s="303" t="s">
        <v>215</v>
      </c>
      <c r="F103" s="22"/>
      <c r="G103" s="28"/>
      <c r="H103" s="304" t="s">
        <v>216</v>
      </c>
      <c r="I103" s="297"/>
      <c r="J103" s="282"/>
      <c r="K103" s="304" t="s">
        <v>217</v>
      </c>
      <c r="L103" s="297"/>
      <c r="M103" s="282"/>
      <c r="N103" s="304" t="s">
        <v>218</v>
      </c>
      <c r="O103" s="297"/>
      <c r="P103" s="282"/>
      <c r="Q103" s="304" t="s">
        <v>219</v>
      </c>
      <c r="R103" s="297"/>
      <c r="S103" s="282"/>
      <c r="T103" s="265"/>
      <c r="U103" s="265"/>
      <c r="V103" s="265"/>
    </row>
    <row r="104">
      <c r="A104" s="37"/>
      <c r="B104" s="458" t="s">
        <v>256</v>
      </c>
      <c r="C104" s="306" t="s">
        <v>221</v>
      </c>
      <c r="D104" s="306" t="s">
        <v>222</v>
      </c>
      <c r="E104" s="301" t="s">
        <v>223</v>
      </c>
      <c r="F104" s="301" t="s">
        <v>224</v>
      </c>
      <c r="G104" s="301" t="s">
        <v>66</v>
      </c>
      <c r="H104" s="301" t="s">
        <v>223</v>
      </c>
      <c r="I104" s="301" t="s">
        <v>224</v>
      </c>
      <c r="J104" s="301" t="s">
        <v>66</v>
      </c>
      <c r="K104" s="301" t="s">
        <v>223</v>
      </c>
      <c r="L104" s="301" t="s">
        <v>224</v>
      </c>
      <c r="M104" s="301" t="s">
        <v>66</v>
      </c>
      <c r="N104" s="301" t="s">
        <v>223</v>
      </c>
      <c r="O104" s="301" t="s">
        <v>224</v>
      </c>
      <c r="P104" s="301" t="s">
        <v>66</v>
      </c>
      <c r="Q104" s="301" t="s">
        <v>223</v>
      </c>
      <c r="R104" s="301" t="s">
        <v>224</v>
      </c>
      <c r="S104" s="301" t="s">
        <v>66</v>
      </c>
      <c r="T104" s="307" t="s">
        <v>225</v>
      </c>
      <c r="U104" s="421" t="s">
        <v>263</v>
      </c>
      <c r="V104" s="265"/>
    </row>
    <row r="105">
      <c r="A105" s="37"/>
      <c r="B105" s="308"/>
      <c r="C105" s="561">
        <v>1.0</v>
      </c>
      <c r="D105" s="506" t="s">
        <v>104</v>
      </c>
      <c r="E105" s="510">
        <v>12.0</v>
      </c>
      <c r="F105" s="508">
        <v>10.0</v>
      </c>
      <c r="G105" s="509"/>
      <c r="H105" s="510">
        <v>12.0</v>
      </c>
      <c r="I105" s="508">
        <v>10.0</v>
      </c>
      <c r="J105" s="509"/>
      <c r="K105" s="508">
        <v>2.0</v>
      </c>
      <c r="L105" s="524">
        <v>45634.0</v>
      </c>
      <c r="M105" s="537" t="s">
        <v>124</v>
      </c>
      <c r="N105" s="25"/>
      <c r="O105" s="509"/>
      <c r="P105" s="375"/>
      <c r="Q105" s="375"/>
      <c r="R105" s="375"/>
      <c r="S105" s="375"/>
      <c r="T105" s="425">
        <f t="shared" ref="T105:T111" si="11">(E105*F105)+(H105*I105)+(K105*L105)+(N105*O105)+(Q105*R105)</f>
        <v>91508</v>
      </c>
      <c r="U105" s="422"/>
      <c r="V105" s="265"/>
    </row>
    <row r="106">
      <c r="A106" s="37"/>
      <c r="B106" s="308"/>
      <c r="C106" s="562">
        <v>2.0</v>
      </c>
      <c r="D106" s="515" t="s">
        <v>145</v>
      </c>
      <c r="E106" s="520">
        <v>10.0</v>
      </c>
      <c r="F106" s="517">
        <v>70.0</v>
      </c>
      <c r="G106" s="518"/>
      <c r="H106" s="520">
        <v>8.0</v>
      </c>
      <c r="I106" s="517">
        <v>70.0</v>
      </c>
      <c r="J106" s="518"/>
      <c r="K106" s="517">
        <v>2.0</v>
      </c>
      <c r="L106" s="539">
        <v>45938.0</v>
      </c>
      <c r="M106" s="527"/>
      <c r="N106" s="522"/>
      <c r="O106" s="518"/>
      <c r="P106" s="379"/>
      <c r="Q106" s="379"/>
      <c r="R106" s="379"/>
      <c r="S106" s="379"/>
      <c r="T106" s="319">
        <f t="shared" si="11"/>
        <v>93136</v>
      </c>
      <c r="U106" s="422"/>
      <c r="V106" s="265"/>
    </row>
    <row r="107">
      <c r="A107" s="37"/>
      <c r="B107" s="308"/>
      <c r="C107" s="561">
        <v>3.0</v>
      </c>
      <c r="D107" s="506" t="s">
        <v>146</v>
      </c>
      <c r="E107" s="510">
        <v>8.0</v>
      </c>
      <c r="F107" s="508">
        <v>28.0</v>
      </c>
      <c r="G107" s="509"/>
      <c r="H107" s="510">
        <v>7.0</v>
      </c>
      <c r="I107" s="508">
        <v>26.0</v>
      </c>
      <c r="J107" s="509"/>
      <c r="K107" s="508">
        <v>2.0</v>
      </c>
      <c r="L107" s="524">
        <v>45509.0</v>
      </c>
      <c r="M107" s="187"/>
      <c r="N107" s="531"/>
      <c r="O107" s="509"/>
      <c r="P107" s="383"/>
      <c r="Q107" s="383"/>
      <c r="R107" s="383"/>
      <c r="S107" s="383"/>
      <c r="T107" s="319">
        <f t="shared" si="11"/>
        <v>91424</v>
      </c>
      <c r="U107" s="422"/>
      <c r="V107" s="265"/>
    </row>
    <row r="108">
      <c r="A108" s="37"/>
      <c r="B108" s="308"/>
      <c r="C108" s="562">
        <v>4.0</v>
      </c>
      <c r="D108" s="515" t="s">
        <v>76</v>
      </c>
      <c r="E108" s="564">
        <v>14.0</v>
      </c>
      <c r="F108" s="563">
        <v>7.5</v>
      </c>
      <c r="G108" s="518"/>
      <c r="H108" s="520">
        <v>16.0</v>
      </c>
      <c r="I108" s="517">
        <v>7.5</v>
      </c>
      <c r="J108" s="518"/>
      <c r="K108" s="517" t="s">
        <v>78</v>
      </c>
      <c r="L108" s="517" t="s">
        <v>108</v>
      </c>
      <c r="M108" s="541" t="s">
        <v>97</v>
      </c>
      <c r="N108" s="25"/>
      <c r="O108" s="542">
        <v>3101.0</v>
      </c>
      <c r="P108" s="379"/>
      <c r="Q108" s="379"/>
      <c r="R108" s="379"/>
      <c r="S108" s="379"/>
      <c r="T108" s="319" t="str">
        <f t="shared" si="11"/>
        <v>#VALUE!</v>
      </c>
      <c r="U108" s="422"/>
      <c r="V108" s="265"/>
    </row>
    <row r="109">
      <c r="A109" s="37"/>
      <c r="B109" s="308"/>
      <c r="C109" s="561">
        <v>5.0</v>
      </c>
      <c r="D109" s="506" t="s">
        <v>147</v>
      </c>
      <c r="E109" s="510">
        <v>14.0</v>
      </c>
      <c r="F109" s="508">
        <v>5.0</v>
      </c>
      <c r="G109" s="509"/>
      <c r="H109" s="510">
        <v>16.0</v>
      </c>
      <c r="I109" s="508">
        <v>5.0</v>
      </c>
      <c r="J109" s="509"/>
      <c r="K109" s="508" t="s">
        <v>78</v>
      </c>
      <c r="L109" s="507" t="s">
        <v>134</v>
      </c>
      <c r="M109" s="537" t="s">
        <v>73</v>
      </c>
      <c r="N109" s="25"/>
      <c r="O109" s="543">
        <v>3101.0</v>
      </c>
      <c r="P109" s="383"/>
      <c r="Q109" s="383"/>
      <c r="R109" s="383"/>
      <c r="S109" s="383"/>
      <c r="T109" s="319" t="str">
        <f t="shared" si="11"/>
        <v>#VALUE!</v>
      </c>
      <c r="U109" s="422"/>
      <c r="V109" s="265"/>
    </row>
    <row r="110">
      <c r="A110" s="37"/>
      <c r="B110" s="308"/>
      <c r="C110" s="562">
        <v>6.0</v>
      </c>
      <c r="D110" s="515" t="s">
        <v>149</v>
      </c>
      <c r="E110" s="520">
        <v>12.0</v>
      </c>
      <c r="F110" s="563">
        <v>22.5</v>
      </c>
      <c r="G110" s="518"/>
      <c r="H110" s="520">
        <v>12.0</v>
      </c>
      <c r="I110" s="563">
        <v>22.5</v>
      </c>
      <c r="J110" s="518"/>
      <c r="K110" s="517">
        <v>2.0</v>
      </c>
      <c r="L110" s="539">
        <v>45999.0</v>
      </c>
      <c r="M110" s="527"/>
      <c r="N110" s="522"/>
      <c r="O110" s="542">
        <v>3101.0</v>
      </c>
      <c r="P110" s="379"/>
      <c r="Q110" s="379"/>
      <c r="R110" s="379"/>
      <c r="S110" s="379"/>
      <c r="T110" s="319">
        <f t="shared" si="11"/>
        <v>92538</v>
      </c>
      <c r="U110" s="422"/>
      <c r="V110" s="265"/>
    </row>
    <row r="111" ht="36.75" customHeight="1">
      <c r="A111" s="37"/>
      <c r="B111" s="308"/>
      <c r="C111" s="561">
        <v>7.0</v>
      </c>
      <c r="D111" s="506" t="s">
        <v>151</v>
      </c>
      <c r="E111" s="508">
        <v>12.0</v>
      </c>
      <c r="F111" s="508">
        <v>5.0</v>
      </c>
      <c r="G111" s="509"/>
      <c r="H111" s="508">
        <v>16.0</v>
      </c>
      <c r="I111" s="508">
        <v>4.5</v>
      </c>
      <c r="J111" s="509"/>
      <c r="K111" s="508" t="s">
        <v>78</v>
      </c>
      <c r="L111" s="508" t="s">
        <v>134</v>
      </c>
      <c r="M111" s="511" t="s">
        <v>73</v>
      </c>
      <c r="N111" s="25"/>
      <c r="O111" s="543">
        <v>3200.0</v>
      </c>
      <c r="P111" s="342"/>
      <c r="Q111" s="342"/>
      <c r="R111" s="342"/>
      <c r="S111" s="342"/>
      <c r="T111" s="319" t="str">
        <f t="shared" si="11"/>
        <v>#VALUE!</v>
      </c>
      <c r="U111" s="422"/>
      <c r="V111" s="265"/>
    </row>
    <row r="112">
      <c r="A112" s="37"/>
      <c r="B112" s="368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92"/>
      <c r="R112" s="265"/>
      <c r="S112" s="265"/>
      <c r="T112" s="265"/>
      <c r="U112" s="265"/>
      <c r="V112" s="265"/>
    </row>
    <row r="113">
      <c r="A113" s="37"/>
      <c r="B113" s="265"/>
      <c r="C113" s="294" t="s">
        <v>209</v>
      </c>
      <c r="D113" s="295"/>
      <c r="E113" s="296" t="s">
        <v>241</v>
      </c>
      <c r="F113" s="297"/>
      <c r="G113" s="297"/>
      <c r="H113" s="297"/>
      <c r="I113" s="297"/>
      <c r="J113" s="297"/>
      <c r="K113" s="297"/>
      <c r="L113" s="297"/>
      <c r="M113" s="282"/>
      <c r="N113" s="298" t="s">
        <v>211</v>
      </c>
      <c r="O113" s="268"/>
      <c r="P113" s="57"/>
      <c r="Q113" s="286"/>
      <c r="R113" s="268"/>
      <c r="S113" s="57"/>
      <c r="T113" s="292"/>
      <c r="U113" s="265"/>
      <c r="V113" s="265"/>
    </row>
    <row r="114">
      <c r="A114" s="37"/>
      <c r="B114" s="265"/>
      <c r="C114" s="301" t="s">
        <v>214</v>
      </c>
      <c r="D114" s="372">
        <v>46014.0</v>
      </c>
      <c r="E114" s="303" t="s">
        <v>215</v>
      </c>
      <c r="F114" s="22"/>
      <c r="G114" s="28"/>
      <c r="H114" s="304" t="s">
        <v>216</v>
      </c>
      <c r="I114" s="297"/>
      <c r="J114" s="282"/>
      <c r="K114" s="304" t="s">
        <v>217</v>
      </c>
      <c r="L114" s="297"/>
      <c r="M114" s="282"/>
      <c r="N114" s="304"/>
      <c r="O114" s="297"/>
      <c r="P114" s="282"/>
      <c r="Q114" s="304"/>
      <c r="R114" s="297"/>
      <c r="S114" s="282"/>
      <c r="T114" s="265"/>
      <c r="U114" s="265"/>
      <c r="V114" s="265"/>
    </row>
    <row r="115">
      <c r="A115" s="37"/>
      <c r="B115" s="470" t="s">
        <v>258</v>
      </c>
      <c r="C115" s="306" t="s">
        <v>221</v>
      </c>
      <c r="D115" s="306" t="s">
        <v>222</v>
      </c>
      <c r="E115" s="301" t="s">
        <v>223</v>
      </c>
      <c r="F115" s="301" t="s">
        <v>224</v>
      </c>
      <c r="G115" s="301" t="s">
        <v>66</v>
      </c>
      <c r="H115" s="301" t="s">
        <v>223</v>
      </c>
      <c r="I115" s="301" t="s">
        <v>224</v>
      </c>
      <c r="J115" s="301" t="s">
        <v>66</v>
      </c>
      <c r="K115" s="301" t="s">
        <v>223</v>
      </c>
      <c r="L115" s="301" t="s">
        <v>224</v>
      </c>
      <c r="M115" s="301" t="s">
        <v>66</v>
      </c>
      <c r="N115" s="301" t="s">
        <v>268</v>
      </c>
      <c r="O115" s="301" t="s">
        <v>269</v>
      </c>
      <c r="P115" s="471" t="s">
        <v>270</v>
      </c>
      <c r="Q115" s="297"/>
      <c r="R115" s="282"/>
      <c r="S115" s="301" t="s">
        <v>271</v>
      </c>
      <c r="T115" s="307" t="s">
        <v>225</v>
      </c>
      <c r="U115" s="421" t="s">
        <v>263</v>
      </c>
      <c r="V115" s="265"/>
    </row>
    <row r="116">
      <c r="A116" s="37"/>
      <c r="B116" s="308"/>
      <c r="C116" s="309">
        <v>1.0</v>
      </c>
      <c r="D116" s="360" t="s">
        <v>154</v>
      </c>
      <c r="E116" s="413">
        <v>10.0</v>
      </c>
      <c r="F116" s="442">
        <v>15.0</v>
      </c>
      <c r="G116" s="414"/>
      <c r="H116" s="413">
        <v>10.0</v>
      </c>
      <c r="I116" s="442">
        <v>15.0</v>
      </c>
      <c r="J116" s="317"/>
      <c r="K116" s="312">
        <v>2.0</v>
      </c>
      <c r="L116" s="209">
        <v>45573.0</v>
      </c>
      <c r="M116" s="218"/>
      <c r="N116" s="218"/>
      <c r="O116" s="316"/>
      <c r="P116" s="100"/>
      <c r="R116" s="25"/>
      <c r="S116" s="472"/>
      <c r="T116" s="546">
        <f t="shared" ref="T116:T122" si="12">(E116*F116)+(H116*I116)+(K116*L116)</f>
        <v>91446</v>
      </c>
      <c r="U116" s="422"/>
      <c r="V116" s="265"/>
    </row>
    <row r="117">
      <c r="A117" s="37"/>
      <c r="B117" s="308"/>
      <c r="C117" s="330">
        <v>2.0</v>
      </c>
      <c r="D117" s="358" t="s">
        <v>155</v>
      </c>
      <c r="E117" s="427">
        <v>12.0</v>
      </c>
      <c r="F117" s="427">
        <v>20.0</v>
      </c>
      <c r="G117" s="416"/>
      <c r="H117" s="427">
        <v>12.0</v>
      </c>
      <c r="I117" s="427">
        <v>20.0</v>
      </c>
      <c r="J117" s="339"/>
      <c r="K117" s="333" t="s">
        <v>78</v>
      </c>
      <c r="L117" s="459">
        <v>45636.0</v>
      </c>
      <c r="M117" s="455" t="s">
        <v>73</v>
      </c>
      <c r="O117" s="338"/>
      <c r="P117" s="336"/>
      <c r="R117" s="25"/>
      <c r="S117" s="339"/>
      <c r="T117" s="467" t="str">
        <f t="shared" si="12"/>
        <v>#VALUE!</v>
      </c>
      <c r="U117" s="422"/>
      <c r="V117" s="265"/>
    </row>
    <row r="118">
      <c r="A118" s="37"/>
      <c r="B118" s="308"/>
      <c r="C118" s="309">
        <v>3.0</v>
      </c>
      <c r="D118" s="360" t="s">
        <v>156</v>
      </c>
      <c r="E118" s="428">
        <v>8.0</v>
      </c>
      <c r="F118" s="428">
        <v>60.0</v>
      </c>
      <c r="G118" s="418"/>
      <c r="H118" s="417">
        <v>8.0</v>
      </c>
      <c r="I118" s="428">
        <v>60.0</v>
      </c>
      <c r="J118" s="344"/>
      <c r="K118" s="342">
        <v>2.0</v>
      </c>
      <c r="L118" s="236">
        <v>45875.0</v>
      </c>
      <c r="M118" s="218"/>
      <c r="N118" s="218"/>
      <c r="O118" s="346"/>
      <c r="P118" s="100"/>
      <c r="R118" s="25"/>
      <c r="S118" s="473"/>
      <c r="T118" s="546">
        <f t="shared" si="12"/>
        <v>92710</v>
      </c>
      <c r="U118" s="422"/>
      <c r="V118" s="265"/>
    </row>
    <row r="119">
      <c r="A119" s="37"/>
      <c r="B119" s="308"/>
      <c r="C119" s="330">
        <v>4.0</v>
      </c>
      <c r="D119" s="358" t="s">
        <v>159</v>
      </c>
      <c r="E119" s="415">
        <v>12.0</v>
      </c>
      <c r="F119" s="427">
        <v>55.0</v>
      </c>
      <c r="G119" s="416"/>
      <c r="H119" s="415">
        <v>12.0</v>
      </c>
      <c r="I119" s="427">
        <v>55.0</v>
      </c>
      <c r="J119" s="339"/>
      <c r="K119" s="333">
        <v>2.0</v>
      </c>
      <c r="L119" s="459">
        <v>45636.0</v>
      </c>
      <c r="M119" s="462"/>
      <c r="N119" s="462"/>
      <c r="O119" s="338"/>
      <c r="P119" s="332"/>
      <c r="Q119" s="332"/>
      <c r="R119" s="335"/>
      <c r="S119" s="339"/>
      <c r="T119" s="546">
        <f t="shared" si="12"/>
        <v>92592</v>
      </c>
      <c r="U119" s="422"/>
      <c r="V119" s="265"/>
    </row>
    <row r="120">
      <c r="A120" s="37"/>
      <c r="B120" s="308"/>
      <c r="C120" s="309">
        <v>5.0</v>
      </c>
      <c r="D120" s="341" t="s">
        <v>275</v>
      </c>
      <c r="E120" s="428">
        <v>10.0</v>
      </c>
      <c r="F120" s="545">
        <v>50.0</v>
      </c>
      <c r="G120" s="418"/>
      <c r="H120" s="428">
        <v>10.0</v>
      </c>
      <c r="I120" s="545">
        <v>50.0</v>
      </c>
      <c r="J120" s="344"/>
      <c r="K120" s="342">
        <v>2.0</v>
      </c>
      <c r="L120" s="463">
        <v>45938.0</v>
      </c>
      <c r="M120" s="241"/>
      <c r="N120" s="241"/>
      <c r="O120" s="346"/>
      <c r="P120" s="218"/>
      <c r="R120" s="25"/>
      <c r="S120" s="473"/>
      <c r="T120" s="546">
        <f t="shared" si="12"/>
        <v>92876</v>
      </c>
      <c r="U120" s="422"/>
      <c r="V120" s="265"/>
    </row>
    <row r="121">
      <c r="A121" s="37"/>
      <c r="B121" s="361"/>
      <c r="C121" s="330">
        <v>6.0</v>
      </c>
      <c r="D121" s="358" t="s">
        <v>107</v>
      </c>
      <c r="E121" s="427">
        <v>13.0</v>
      </c>
      <c r="F121" s="415">
        <v>10.0</v>
      </c>
      <c r="G121" s="419"/>
      <c r="H121" s="427">
        <v>18.0</v>
      </c>
      <c r="I121" s="489">
        <v>45784.0</v>
      </c>
      <c r="J121" s="339"/>
      <c r="K121" s="338" t="s">
        <v>78</v>
      </c>
      <c r="L121" s="436" t="s">
        <v>134</v>
      </c>
      <c r="M121" s="455" t="s">
        <v>73</v>
      </c>
      <c r="O121" s="338">
        <v>3100.0</v>
      </c>
      <c r="P121" s="337"/>
      <c r="R121" s="25"/>
      <c r="S121" s="338"/>
      <c r="T121" s="467" t="str">
        <f t="shared" si="12"/>
        <v>#VALUE!</v>
      </c>
      <c r="U121" s="422"/>
      <c r="V121" s="265"/>
    </row>
    <row r="122" ht="30.0" customHeight="1">
      <c r="A122" s="37"/>
      <c r="B122" s="368"/>
      <c r="C122" s="309">
        <v>7.0</v>
      </c>
      <c r="D122" s="360" t="s">
        <v>163</v>
      </c>
      <c r="E122" s="428">
        <v>14.0</v>
      </c>
      <c r="F122" s="428">
        <v>5.0</v>
      </c>
      <c r="G122" s="420"/>
      <c r="H122" s="428">
        <v>16.0</v>
      </c>
      <c r="I122" s="428">
        <v>5.0</v>
      </c>
      <c r="J122" s="344"/>
      <c r="K122" s="342" t="s">
        <v>78</v>
      </c>
      <c r="L122" s="244" t="s">
        <v>134</v>
      </c>
      <c r="M122" s="97" t="s">
        <v>73</v>
      </c>
      <c r="O122" s="346">
        <v>3101.0</v>
      </c>
      <c r="P122" s="218"/>
      <c r="R122" s="25"/>
      <c r="S122" s="473"/>
      <c r="T122" s="467" t="str">
        <f t="shared" si="12"/>
        <v>#VALUE!</v>
      </c>
      <c r="U122" s="422"/>
      <c r="V122" s="265"/>
    </row>
    <row r="123" ht="25.5" customHeight="1">
      <c r="A123" s="37"/>
      <c r="B123" s="265"/>
      <c r="C123" s="277"/>
      <c r="D123" s="277"/>
      <c r="E123" s="565"/>
      <c r="F123" s="565"/>
      <c r="G123" s="565"/>
      <c r="H123" s="565"/>
      <c r="I123" s="565"/>
      <c r="J123" s="565"/>
      <c r="K123" s="488"/>
      <c r="L123" s="277"/>
      <c r="M123" s="271"/>
      <c r="N123" s="277"/>
      <c r="O123" s="277"/>
      <c r="P123" s="277"/>
      <c r="Q123" s="277"/>
      <c r="R123" s="277"/>
      <c r="S123" s="277"/>
      <c r="T123" s="292"/>
      <c r="U123" s="265"/>
      <c r="V123" s="265"/>
    </row>
    <row r="124">
      <c r="A124" s="37"/>
      <c r="B124" s="265"/>
      <c r="C124" s="294" t="s">
        <v>209</v>
      </c>
      <c r="D124" s="295"/>
      <c r="E124" s="296" t="s">
        <v>244</v>
      </c>
      <c r="F124" s="297"/>
      <c r="G124" s="297"/>
      <c r="H124" s="297"/>
      <c r="I124" s="297"/>
      <c r="J124" s="297"/>
      <c r="K124" s="297"/>
      <c r="L124" s="297"/>
      <c r="M124" s="282"/>
      <c r="N124" s="298" t="s">
        <v>211</v>
      </c>
      <c r="O124" s="268"/>
      <c r="P124" s="57"/>
      <c r="Q124" s="286"/>
      <c r="R124" s="268"/>
      <c r="S124" s="57"/>
      <c r="T124" s="292"/>
      <c r="U124" s="265"/>
      <c r="V124" s="265"/>
    </row>
    <row r="125">
      <c r="A125" s="37"/>
      <c r="B125" s="265"/>
      <c r="C125" s="301" t="s">
        <v>214</v>
      </c>
      <c r="D125" s="372">
        <v>46015.0</v>
      </c>
      <c r="E125" s="303" t="s">
        <v>215</v>
      </c>
      <c r="F125" s="22"/>
      <c r="G125" s="28"/>
      <c r="H125" s="304" t="s">
        <v>216</v>
      </c>
      <c r="I125" s="297"/>
      <c r="J125" s="282"/>
      <c r="K125" s="304"/>
      <c r="L125" s="297"/>
      <c r="M125" s="282"/>
      <c r="N125" s="304"/>
      <c r="O125" s="297"/>
      <c r="P125" s="282"/>
      <c r="Q125" s="304"/>
      <c r="R125" s="297"/>
      <c r="S125" s="282"/>
      <c r="T125" s="265"/>
      <c r="U125" s="265"/>
      <c r="V125" s="265"/>
    </row>
    <row r="126">
      <c r="A126" s="37"/>
      <c r="B126" s="456" t="s">
        <v>259</v>
      </c>
      <c r="C126" s="306" t="s">
        <v>221</v>
      </c>
      <c r="D126" s="306" t="s">
        <v>222</v>
      </c>
      <c r="E126" s="301" t="s">
        <v>223</v>
      </c>
      <c r="F126" s="301" t="s">
        <v>224</v>
      </c>
      <c r="G126" s="301" t="s">
        <v>66</v>
      </c>
      <c r="H126" s="301" t="s">
        <v>223</v>
      </c>
      <c r="I126" s="301" t="s">
        <v>224</v>
      </c>
      <c r="J126" s="301" t="s">
        <v>66</v>
      </c>
      <c r="K126" s="301" t="s">
        <v>268</v>
      </c>
      <c r="L126" s="301" t="s">
        <v>269</v>
      </c>
      <c r="M126" s="468" t="s">
        <v>270</v>
      </c>
      <c r="N126" s="297"/>
      <c r="O126" s="282"/>
      <c r="P126" s="301" t="s">
        <v>271</v>
      </c>
      <c r="Q126" s="468"/>
      <c r="R126" s="297"/>
      <c r="S126" s="282"/>
      <c r="T126" s="307" t="s">
        <v>225</v>
      </c>
      <c r="U126" s="421" t="s">
        <v>263</v>
      </c>
      <c r="V126" s="265"/>
    </row>
    <row r="127">
      <c r="A127" s="37"/>
      <c r="B127" s="308"/>
      <c r="C127" s="309">
        <v>1.0</v>
      </c>
      <c r="D127" s="373" t="s">
        <v>167</v>
      </c>
      <c r="E127" s="374">
        <v>12.0</v>
      </c>
      <c r="F127" s="375">
        <v>55.0</v>
      </c>
      <c r="G127" s="384"/>
      <c r="H127" s="376">
        <v>14.0</v>
      </c>
      <c r="I127" s="375">
        <v>55.0</v>
      </c>
      <c r="J127" s="317"/>
      <c r="K127" s="317">
        <v>2.0</v>
      </c>
      <c r="L127" s="209">
        <v>45634.0</v>
      </c>
      <c r="M127" s="100" t="s">
        <v>124</v>
      </c>
      <c r="O127" s="25"/>
      <c r="P127" s="472">
        <v>3101.0</v>
      </c>
      <c r="Q127" s="472"/>
      <c r="R127" s="472"/>
      <c r="S127" s="472"/>
      <c r="T127" s="467">
        <f t="shared" ref="T127:T133" si="13">(E127*F127)+(H127*I127)</f>
        <v>1430</v>
      </c>
      <c r="U127" s="422"/>
      <c r="V127" s="265"/>
    </row>
    <row r="128">
      <c r="A128" s="37"/>
      <c r="B128" s="308"/>
      <c r="C128" s="330">
        <v>2.0</v>
      </c>
      <c r="D128" s="377" t="s">
        <v>189</v>
      </c>
      <c r="E128" s="378">
        <v>12.0</v>
      </c>
      <c r="F128" s="379">
        <v>27.5</v>
      </c>
      <c r="G128" s="380"/>
      <c r="H128" s="381">
        <v>12.0</v>
      </c>
      <c r="I128" s="379">
        <v>27.5</v>
      </c>
      <c r="J128" s="339"/>
      <c r="K128" s="335" t="s">
        <v>78</v>
      </c>
      <c r="L128" s="440">
        <v>46001.0</v>
      </c>
      <c r="M128" s="336" t="s">
        <v>97</v>
      </c>
      <c r="O128" s="25"/>
      <c r="P128" s="339">
        <v>3101.0</v>
      </c>
      <c r="Q128" s="339"/>
      <c r="R128" s="339"/>
      <c r="S128" s="339"/>
      <c r="T128" s="467">
        <f t="shared" si="13"/>
        <v>660</v>
      </c>
      <c r="U128" s="422"/>
      <c r="V128" s="265"/>
    </row>
    <row r="129">
      <c r="A129" s="37"/>
      <c r="B129" s="308"/>
      <c r="C129" s="309">
        <v>3.0</v>
      </c>
      <c r="D129" s="382" t="s">
        <v>190</v>
      </c>
      <c r="E129" s="374">
        <v>12.0</v>
      </c>
      <c r="F129" s="383">
        <v>50.0</v>
      </c>
      <c r="G129" s="384"/>
      <c r="H129" s="385">
        <v>16.0</v>
      </c>
      <c r="I129" s="383">
        <v>50.0</v>
      </c>
      <c r="J129" s="344"/>
      <c r="K129" s="344" t="s">
        <v>78</v>
      </c>
      <c r="L129" s="437" t="s">
        <v>134</v>
      </c>
      <c r="M129" s="100" t="s">
        <v>97</v>
      </c>
      <c r="O129" s="25"/>
      <c r="P129" s="473">
        <v>3001.0</v>
      </c>
      <c r="Q129" s="473"/>
      <c r="R129" s="473"/>
      <c r="S129" s="473"/>
      <c r="T129" s="467">
        <f t="shared" si="13"/>
        <v>1400</v>
      </c>
      <c r="U129" s="422"/>
      <c r="V129" s="265"/>
    </row>
    <row r="130">
      <c r="A130" s="37"/>
      <c r="B130" s="308"/>
      <c r="C130" s="330">
        <v>4.0</v>
      </c>
      <c r="D130" s="377" t="s">
        <v>191</v>
      </c>
      <c r="E130" s="378">
        <v>10.0</v>
      </c>
      <c r="F130" s="379">
        <v>120.0</v>
      </c>
      <c r="G130" s="380"/>
      <c r="H130" s="439">
        <v>9.0</v>
      </c>
      <c r="I130" s="379">
        <v>120.0</v>
      </c>
      <c r="J130" s="339"/>
      <c r="K130" s="339">
        <v>2.0</v>
      </c>
      <c r="L130" s="440">
        <v>45938.0</v>
      </c>
      <c r="M130" s="332"/>
      <c r="N130" s="332"/>
      <c r="O130" s="335"/>
      <c r="P130" s="339">
        <v>3001.0</v>
      </c>
      <c r="Q130" s="339"/>
      <c r="R130" s="339"/>
      <c r="S130" s="339"/>
      <c r="T130" s="467">
        <f t="shared" si="13"/>
        <v>2280</v>
      </c>
      <c r="U130" s="422"/>
      <c r="V130" s="265"/>
    </row>
    <row r="131">
      <c r="A131" s="37"/>
      <c r="B131" s="308"/>
      <c r="C131" s="309">
        <v>5.0</v>
      </c>
      <c r="D131" s="382" t="s">
        <v>192</v>
      </c>
      <c r="E131" s="374">
        <v>6.0</v>
      </c>
      <c r="F131" s="383">
        <v>80.0</v>
      </c>
      <c r="G131" s="384"/>
      <c r="H131" s="385">
        <v>8.0</v>
      </c>
      <c r="I131" s="383">
        <v>70.0</v>
      </c>
      <c r="J131" s="344"/>
      <c r="K131" s="344">
        <v>2.0</v>
      </c>
      <c r="L131" s="432">
        <v>45510.0</v>
      </c>
      <c r="M131" s="218"/>
      <c r="O131" s="25"/>
      <c r="P131" s="473"/>
      <c r="Q131" s="473"/>
      <c r="R131" s="473"/>
      <c r="S131" s="473"/>
      <c r="T131" s="467">
        <f t="shared" si="13"/>
        <v>1040</v>
      </c>
      <c r="U131" s="422"/>
      <c r="V131" s="265"/>
    </row>
    <row r="132">
      <c r="A132" s="37"/>
      <c r="B132" s="308"/>
      <c r="C132" s="330">
        <v>6.0</v>
      </c>
      <c r="D132" s="331" t="s">
        <v>267</v>
      </c>
      <c r="E132" s="378">
        <v>12.0</v>
      </c>
      <c r="F132" s="379">
        <v>40.0</v>
      </c>
      <c r="G132" s="380"/>
      <c r="H132" s="381">
        <v>8.0</v>
      </c>
      <c r="I132" s="379">
        <v>40.0</v>
      </c>
      <c r="J132" s="339"/>
      <c r="K132" s="339" t="s">
        <v>113</v>
      </c>
      <c r="L132" s="474">
        <v>45999.0</v>
      </c>
      <c r="M132" s="337" t="s">
        <v>97</v>
      </c>
      <c r="O132" s="25"/>
      <c r="P132" s="338">
        <v>3202.0</v>
      </c>
      <c r="Q132" s="338"/>
      <c r="R132" s="338"/>
      <c r="S132" s="338"/>
      <c r="T132" s="467">
        <f t="shared" si="13"/>
        <v>800</v>
      </c>
      <c r="U132" s="422"/>
      <c r="V132" s="265"/>
    </row>
    <row r="133">
      <c r="A133" s="37"/>
      <c r="B133" s="361"/>
      <c r="C133" s="309">
        <v>7.0</v>
      </c>
      <c r="D133" s="382"/>
      <c r="E133" s="259"/>
      <c r="F133" s="383"/>
      <c r="G133" s="318"/>
      <c r="H133" s="343"/>
      <c r="I133" s="342"/>
      <c r="J133" s="344"/>
      <c r="K133" s="481"/>
      <c r="L133" s="259"/>
      <c r="M133" s="100"/>
      <c r="N133" s="485"/>
      <c r="O133" s="491"/>
      <c r="P133" s="472"/>
      <c r="Q133" s="485"/>
      <c r="S133" s="25"/>
      <c r="T133" s="467">
        <f t="shared" si="13"/>
        <v>0</v>
      </c>
      <c r="U133" s="422"/>
      <c r="V133" s="265"/>
    </row>
    <row r="134" ht="37.5" customHeight="1">
      <c r="A134" s="37"/>
      <c r="B134" s="265"/>
      <c r="C134" s="265"/>
      <c r="D134" s="265"/>
      <c r="E134" s="265"/>
      <c r="F134" s="265"/>
      <c r="G134" s="265"/>
      <c r="H134" s="265"/>
      <c r="I134" s="265"/>
      <c r="J134" s="292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</row>
    <row r="135">
      <c r="A135" s="37"/>
      <c r="B135" s="265"/>
      <c r="C135" s="294" t="s">
        <v>209</v>
      </c>
      <c r="D135" s="295"/>
      <c r="E135" s="296" t="s">
        <v>257</v>
      </c>
      <c r="F135" s="297"/>
      <c r="G135" s="297"/>
      <c r="H135" s="297"/>
      <c r="I135" s="297"/>
      <c r="J135" s="297"/>
      <c r="K135" s="297"/>
      <c r="L135" s="297"/>
      <c r="M135" s="282"/>
      <c r="N135" s="298" t="s">
        <v>211</v>
      </c>
      <c r="O135" s="268"/>
      <c r="P135" s="57"/>
      <c r="Q135" s="286"/>
      <c r="R135" s="268"/>
      <c r="S135" s="57"/>
      <c r="T135" s="292"/>
      <c r="U135" s="265"/>
      <c r="V135" s="265"/>
    </row>
    <row r="136">
      <c r="A136" s="37"/>
      <c r="B136" s="265"/>
      <c r="C136" s="301" t="s">
        <v>214</v>
      </c>
      <c r="D136" s="372">
        <v>46017.0</v>
      </c>
      <c r="E136" s="303" t="s">
        <v>215</v>
      </c>
      <c r="F136" s="22"/>
      <c r="G136" s="28"/>
      <c r="H136" s="304" t="s">
        <v>216</v>
      </c>
      <c r="I136" s="297"/>
      <c r="J136" s="282"/>
      <c r="K136" s="304"/>
      <c r="L136" s="297"/>
      <c r="M136" s="282"/>
      <c r="N136" s="304"/>
      <c r="O136" s="297"/>
      <c r="P136" s="282"/>
      <c r="Q136" s="304"/>
      <c r="R136" s="297"/>
      <c r="S136" s="282"/>
      <c r="T136" s="265"/>
      <c r="U136" s="265"/>
      <c r="V136" s="265"/>
    </row>
    <row r="137">
      <c r="A137" s="37"/>
      <c r="B137" s="456" t="s">
        <v>261</v>
      </c>
      <c r="C137" s="306" t="s">
        <v>221</v>
      </c>
      <c r="D137" s="306" t="s">
        <v>222</v>
      </c>
      <c r="E137" s="301" t="s">
        <v>223</v>
      </c>
      <c r="F137" s="301" t="s">
        <v>224</v>
      </c>
      <c r="G137" s="301" t="s">
        <v>66</v>
      </c>
      <c r="H137" s="301" t="s">
        <v>223</v>
      </c>
      <c r="I137" s="301" t="s">
        <v>224</v>
      </c>
      <c r="J137" s="301" t="s">
        <v>66</v>
      </c>
      <c r="K137" s="301" t="s">
        <v>268</v>
      </c>
      <c r="L137" s="301" t="s">
        <v>269</v>
      </c>
      <c r="M137" s="468" t="s">
        <v>270</v>
      </c>
      <c r="N137" s="297"/>
      <c r="O137" s="282"/>
      <c r="P137" s="301" t="s">
        <v>271</v>
      </c>
      <c r="Q137" s="301"/>
      <c r="R137" s="301"/>
      <c r="S137" s="301"/>
      <c r="T137" s="307" t="s">
        <v>225</v>
      </c>
      <c r="U137" s="421" t="s">
        <v>263</v>
      </c>
      <c r="V137" s="265"/>
    </row>
    <row r="138">
      <c r="A138" s="37"/>
      <c r="B138" s="308"/>
      <c r="C138" s="309">
        <v>1.0</v>
      </c>
      <c r="D138" s="373" t="s">
        <v>127</v>
      </c>
      <c r="E138" s="312">
        <v>12.0</v>
      </c>
      <c r="F138" s="312">
        <v>10.0</v>
      </c>
      <c r="G138" s="318"/>
      <c r="H138" s="313">
        <v>10.0</v>
      </c>
      <c r="I138" s="312">
        <v>10.0</v>
      </c>
      <c r="J138" s="317"/>
      <c r="K138" s="312">
        <v>2.0</v>
      </c>
      <c r="L138" s="312" t="s">
        <v>134</v>
      </c>
      <c r="M138" s="318"/>
      <c r="O138" s="25"/>
      <c r="P138" s="317"/>
      <c r="Q138" s="438"/>
      <c r="R138" s="438"/>
      <c r="S138" s="438"/>
      <c r="T138" s="319">
        <f t="shared" ref="T138:T144" si="14">(E138*F138)+(H138*I138)</f>
        <v>220</v>
      </c>
      <c r="U138" s="422"/>
      <c r="V138" s="265"/>
    </row>
    <row r="139">
      <c r="A139" s="37"/>
      <c r="B139" s="308"/>
      <c r="C139" s="330">
        <v>2.0</v>
      </c>
      <c r="D139" s="377" t="s">
        <v>178</v>
      </c>
      <c r="E139" s="423">
        <v>8.0</v>
      </c>
      <c r="F139" s="333">
        <v>40.0</v>
      </c>
      <c r="G139" s="336"/>
      <c r="H139" s="334">
        <v>7.0</v>
      </c>
      <c r="I139" s="333">
        <v>45.0</v>
      </c>
      <c r="J139" s="339"/>
      <c r="K139" s="339">
        <v>2.0</v>
      </c>
      <c r="L139" s="440">
        <v>45938.0</v>
      </c>
      <c r="M139" s="336"/>
      <c r="O139" s="25"/>
      <c r="P139" s="339"/>
      <c r="Q139" s="336"/>
      <c r="R139" s="336"/>
      <c r="S139" s="336"/>
      <c r="T139" s="319">
        <f t="shared" si="14"/>
        <v>635</v>
      </c>
      <c r="U139" s="422"/>
      <c r="V139" s="265"/>
    </row>
    <row r="140">
      <c r="A140" s="37"/>
      <c r="B140" s="308"/>
      <c r="C140" s="309">
        <v>3.0</v>
      </c>
      <c r="D140" s="382" t="s">
        <v>179</v>
      </c>
      <c r="E140" s="259">
        <v>8.0</v>
      </c>
      <c r="F140" s="383">
        <v>60.0</v>
      </c>
      <c r="G140" s="318"/>
      <c r="H140" s="343">
        <v>7.0</v>
      </c>
      <c r="I140" s="342">
        <v>60.0</v>
      </c>
      <c r="J140" s="344"/>
      <c r="K140" s="481">
        <v>2.0</v>
      </c>
      <c r="L140" s="432">
        <v>45510.0</v>
      </c>
      <c r="M140" s="318"/>
      <c r="O140" s="25"/>
      <c r="P140" s="344"/>
      <c r="Q140" s="318"/>
      <c r="R140" s="318"/>
      <c r="S140" s="318"/>
      <c r="T140" s="319">
        <f t="shared" si="14"/>
        <v>900</v>
      </c>
      <c r="U140" s="422"/>
      <c r="V140" s="265"/>
    </row>
    <row r="141">
      <c r="A141" s="37"/>
      <c r="B141" s="308"/>
      <c r="C141" s="330">
        <v>4.0</v>
      </c>
      <c r="D141" s="377" t="s">
        <v>180</v>
      </c>
      <c r="E141" s="423">
        <v>10.0</v>
      </c>
      <c r="F141" s="379">
        <v>30.0</v>
      </c>
      <c r="G141" s="336"/>
      <c r="H141" s="334">
        <v>10.0</v>
      </c>
      <c r="I141" s="333">
        <v>30.0</v>
      </c>
      <c r="J141" s="339"/>
      <c r="K141" s="339">
        <v>2.0</v>
      </c>
      <c r="L141" s="440">
        <v>45938.0</v>
      </c>
      <c r="M141" s="336"/>
      <c r="O141" s="25"/>
      <c r="P141" s="339"/>
      <c r="Q141" s="336"/>
      <c r="R141" s="336"/>
      <c r="S141" s="336"/>
      <c r="T141" s="319">
        <f t="shared" si="14"/>
        <v>600</v>
      </c>
      <c r="U141" s="422"/>
      <c r="V141" s="265"/>
    </row>
    <row r="142">
      <c r="A142" s="37"/>
      <c r="B142" s="308"/>
      <c r="C142" s="309">
        <v>5.0</v>
      </c>
      <c r="D142" s="382" t="s">
        <v>141</v>
      </c>
      <c r="E142" s="259">
        <v>12.0</v>
      </c>
      <c r="F142" s="383">
        <v>15.0</v>
      </c>
      <c r="G142" s="318"/>
      <c r="H142" s="343">
        <v>9.0</v>
      </c>
      <c r="I142" s="342">
        <v>15.0</v>
      </c>
      <c r="J142" s="344"/>
      <c r="K142" s="481" t="s">
        <v>78</v>
      </c>
      <c r="L142" s="566" t="s">
        <v>108</v>
      </c>
      <c r="M142" s="100" t="s">
        <v>73</v>
      </c>
      <c r="O142" s="25"/>
      <c r="P142" s="344">
        <v>3101.0</v>
      </c>
      <c r="Q142" s="318"/>
      <c r="R142" s="318"/>
      <c r="S142" s="318"/>
      <c r="T142" s="319">
        <f t="shared" si="14"/>
        <v>315</v>
      </c>
      <c r="U142" s="422"/>
      <c r="V142" s="265"/>
    </row>
    <row r="143">
      <c r="A143" s="37"/>
      <c r="B143" s="308"/>
      <c r="C143" s="330">
        <v>6.0</v>
      </c>
      <c r="D143" s="331" t="s">
        <v>139</v>
      </c>
      <c r="E143" s="423">
        <v>12.0</v>
      </c>
      <c r="F143" s="379">
        <v>30.0</v>
      </c>
      <c r="G143" s="336"/>
      <c r="H143" s="334">
        <v>14.0</v>
      </c>
      <c r="I143" s="333">
        <v>30.0</v>
      </c>
      <c r="J143" s="339"/>
      <c r="K143" s="339" t="s">
        <v>78</v>
      </c>
      <c r="L143" s="440">
        <v>45999.0</v>
      </c>
      <c r="M143" s="336" t="s">
        <v>97</v>
      </c>
      <c r="O143" s="25"/>
      <c r="P143" s="339"/>
      <c r="Q143" s="336"/>
      <c r="R143" s="336"/>
      <c r="S143" s="336"/>
      <c r="T143" s="319">
        <f t="shared" si="14"/>
        <v>780</v>
      </c>
      <c r="U143" s="422"/>
      <c r="V143" s="265"/>
    </row>
    <row r="144">
      <c r="A144" s="37"/>
      <c r="B144" s="361"/>
      <c r="C144" s="309">
        <v>7.0</v>
      </c>
      <c r="D144" s="382" t="s">
        <v>88</v>
      </c>
      <c r="E144" s="259">
        <v>12.0</v>
      </c>
      <c r="F144" s="383">
        <v>8.0</v>
      </c>
      <c r="G144" s="318"/>
      <c r="H144" s="343">
        <v>11.0</v>
      </c>
      <c r="I144" s="342">
        <v>8.0</v>
      </c>
      <c r="J144" s="344"/>
      <c r="K144" s="481" t="s">
        <v>78</v>
      </c>
      <c r="L144" s="566" t="s">
        <v>108</v>
      </c>
      <c r="M144" s="100" t="s">
        <v>73</v>
      </c>
      <c r="O144" s="25"/>
      <c r="P144" s="472">
        <v>3101.0</v>
      </c>
      <c r="Q144" s="318"/>
      <c r="R144" s="318"/>
      <c r="S144" s="318"/>
      <c r="T144" s="319">
        <f t="shared" si="14"/>
        <v>184</v>
      </c>
      <c r="U144" s="422"/>
      <c r="V144" s="265"/>
    </row>
    <row r="145" ht="27.0" customHeight="1">
      <c r="A145" s="37"/>
      <c r="B145" s="265"/>
      <c r="C145" s="265"/>
      <c r="D145" s="265"/>
      <c r="E145" s="265"/>
      <c r="F145" s="265"/>
      <c r="G145" s="265"/>
      <c r="H145" s="265"/>
      <c r="I145" s="265"/>
      <c r="J145" s="29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</row>
    <row r="146">
      <c r="A146" s="37"/>
      <c r="B146" s="265"/>
      <c r="C146" s="294" t="s">
        <v>209</v>
      </c>
      <c r="D146" s="295"/>
      <c r="E146" s="296" t="s">
        <v>248</v>
      </c>
      <c r="F146" s="297"/>
      <c r="G146" s="297"/>
      <c r="H146" s="297"/>
      <c r="I146" s="297"/>
      <c r="J146" s="297"/>
      <c r="K146" s="297"/>
      <c r="L146" s="297"/>
      <c r="M146" s="282"/>
      <c r="N146" s="298" t="s">
        <v>211</v>
      </c>
      <c r="O146" s="268"/>
      <c r="P146" s="57"/>
      <c r="Q146" s="286"/>
      <c r="R146" s="268"/>
      <c r="S146" s="57"/>
      <c r="T146" s="292"/>
      <c r="U146" s="265"/>
      <c r="V146" s="265"/>
    </row>
    <row r="147">
      <c r="A147" s="37"/>
      <c r="B147" s="265"/>
      <c r="C147" s="301" t="s">
        <v>214</v>
      </c>
      <c r="D147" s="372">
        <v>46019.0</v>
      </c>
      <c r="E147" s="303" t="s">
        <v>215</v>
      </c>
      <c r="F147" s="22"/>
      <c r="G147" s="28"/>
      <c r="H147" s="304" t="s">
        <v>216</v>
      </c>
      <c r="I147" s="297"/>
      <c r="J147" s="282"/>
      <c r="K147" s="304"/>
      <c r="L147" s="297"/>
      <c r="M147" s="282"/>
      <c r="N147" s="304"/>
      <c r="O147" s="297"/>
      <c r="P147" s="282"/>
      <c r="Q147" s="304"/>
      <c r="R147" s="297"/>
      <c r="S147" s="282"/>
      <c r="T147" s="265"/>
      <c r="U147" s="265"/>
      <c r="V147" s="265"/>
    </row>
    <row r="148">
      <c r="A148" s="37"/>
      <c r="B148" s="470" t="s">
        <v>262</v>
      </c>
      <c r="C148" s="306" t="s">
        <v>221</v>
      </c>
      <c r="D148" s="306" t="s">
        <v>222</v>
      </c>
      <c r="E148" s="301" t="s">
        <v>223</v>
      </c>
      <c r="F148" s="301" t="s">
        <v>224</v>
      </c>
      <c r="G148" s="301" t="s">
        <v>66</v>
      </c>
      <c r="H148" s="301" t="s">
        <v>223</v>
      </c>
      <c r="I148" s="301" t="s">
        <v>224</v>
      </c>
      <c r="J148" s="301" t="s">
        <v>66</v>
      </c>
      <c r="K148" s="301" t="s">
        <v>268</v>
      </c>
      <c r="L148" s="301" t="s">
        <v>269</v>
      </c>
      <c r="M148" s="468" t="s">
        <v>270</v>
      </c>
      <c r="N148" s="282"/>
      <c r="O148" s="301" t="s">
        <v>271</v>
      </c>
      <c r="P148" s="301"/>
      <c r="Q148" s="301"/>
      <c r="R148" s="301"/>
      <c r="S148" s="301"/>
      <c r="T148" s="307" t="s">
        <v>225</v>
      </c>
      <c r="U148" s="421" t="s">
        <v>263</v>
      </c>
      <c r="V148" s="265"/>
    </row>
    <row r="149">
      <c r="A149" s="37"/>
      <c r="B149" s="308"/>
      <c r="C149" s="309">
        <v>1.0</v>
      </c>
      <c r="D149" s="373" t="s">
        <v>130</v>
      </c>
      <c r="E149" s="259">
        <v>12.0</v>
      </c>
      <c r="F149" s="375">
        <v>12.0</v>
      </c>
      <c r="G149" s="384"/>
      <c r="H149" s="376">
        <v>12.0</v>
      </c>
      <c r="I149" s="375">
        <v>12.0</v>
      </c>
      <c r="J149" s="315"/>
      <c r="K149" s="316">
        <v>2.0</v>
      </c>
      <c r="L149" s="236">
        <v>45999.0</v>
      </c>
      <c r="M149" s="346"/>
      <c r="N149" s="317"/>
      <c r="O149" s="316"/>
      <c r="P149" s="317"/>
      <c r="Q149" s="318"/>
      <c r="R149" s="316"/>
      <c r="S149" s="318"/>
      <c r="T149" s="319">
        <f t="shared" ref="T149:T155" si="15">(E149*F149)+(H149*I149)</f>
        <v>288</v>
      </c>
      <c r="U149" s="422"/>
      <c r="V149" s="265"/>
    </row>
    <row r="150" ht="33.75" customHeight="1">
      <c r="A150" s="37"/>
      <c r="B150" s="308"/>
      <c r="C150" s="330">
        <v>2.0</v>
      </c>
      <c r="D150" s="377" t="s">
        <v>183</v>
      </c>
      <c r="E150" s="423">
        <v>12.0</v>
      </c>
      <c r="F150" s="379">
        <v>12.5</v>
      </c>
      <c r="G150" s="380"/>
      <c r="H150" s="381">
        <v>16.0</v>
      </c>
      <c r="I150" s="379">
        <v>12.5</v>
      </c>
      <c r="J150" s="337"/>
      <c r="K150" s="338" t="s">
        <v>78</v>
      </c>
      <c r="L150" s="436" t="s">
        <v>134</v>
      </c>
      <c r="M150" s="337" t="s">
        <v>73</v>
      </c>
      <c r="N150" s="25"/>
      <c r="O150" s="338">
        <v>3101.0</v>
      </c>
      <c r="P150" s="339"/>
      <c r="Q150" s="336"/>
      <c r="R150" s="338"/>
      <c r="S150" s="336"/>
      <c r="T150" s="319">
        <f t="shared" si="15"/>
        <v>350</v>
      </c>
      <c r="U150" s="422"/>
      <c r="V150" s="265"/>
    </row>
    <row r="151">
      <c r="A151" s="37"/>
      <c r="B151" s="308"/>
      <c r="C151" s="309">
        <v>3.0</v>
      </c>
      <c r="D151" s="382" t="s">
        <v>131</v>
      </c>
      <c r="E151" s="259">
        <v>12.0</v>
      </c>
      <c r="F151" s="383">
        <v>50.0</v>
      </c>
      <c r="H151" s="385">
        <v>9.0</v>
      </c>
      <c r="I151" s="383">
        <v>50.0</v>
      </c>
      <c r="J151" s="345"/>
      <c r="K151" s="346">
        <v>2.0</v>
      </c>
      <c r="L151" s="236">
        <v>46001.0</v>
      </c>
      <c r="M151" s="346"/>
      <c r="N151" s="318"/>
      <c r="O151" s="346"/>
      <c r="P151" s="344"/>
      <c r="Q151" s="318"/>
      <c r="R151" s="346"/>
      <c r="S151" s="318"/>
      <c r="T151" s="319">
        <f t="shared" si="15"/>
        <v>1050</v>
      </c>
      <c r="U151" s="422"/>
      <c r="V151" s="265"/>
    </row>
    <row r="152" ht="34.5" customHeight="1">
      <c r="A152" s="37"/>
      <c r="B152" s="308"/>
      <c r="C152" s="330">
        <v>4.0</v>
      </c>
      <c r="D152" s="377" t="s">
        <v>106</v>
      </c>
      <c r="E152" s="423">
        <v>10.0</v>
      </c>
      <c r="F152" s="379">
        <v>60.0</v>
      </c>
      <c r="G152" s="380"/>
      <c r="H152" s="381">
        <v>8.0</v>
      </c>
      <c r="I152" s="379">
        <v>60.0</v>
      </c>
      <c r="J152" s="337"/>
      <c r="K152" s="338">
        <v>2.0</v>
      </c>
      <c r="L152" s="459">
        <v>45573.0</v>
      </c>
      <c r="M152" s="338"/>
      <c r="N152" s="336"/>
      <c r="O152" s="338">
        <v>3101.0</v>
      </c>
      <c r="P152" s="339"/>
      <c r="Q152" s="336"/>
      <c r="R152" s="338"/>
      <c r="S152" s="336"/>
      <c r="T152" s="319">
        <f t="shared" si="15"/>
        <v>1080</v>
      </c>
      <c r="U152" s="422"/>
      <c r="V152" s="265"/>
    </row>
    <row r="153">
      <c r="A153" s="37"/>
      <c r="B153" s="308"/>
      <c r="C153" s="309">
        <v>5.0</v>
      </c>
      <c r="D153" s="382" t="s">
        <v>185</v>
      </c>
      <c r="E153" s="244">
        <v>12.0</v>
      </c>
      <c r="F153" s="383">
        <v>60.0</v>
      </c>
      <c r="G153" s="384"/>
      <c r="H153" s="385">
        <v>12.0</v>
      </c>
      <c r="I153" s="383">
        <v>60.0</v>
      </c>
      <c r="J153" s="345"/>
      <c r="K153" s="346">
        <v>2.0</v>
      </c>
      <c r="L153" s="239">
        <v>45636.0</v>
      </c>
      <c r="M153" s="346"/>
      <c r="N153" s="344"/>
      <c r="O153" s="346"/>
      <c r="P153" s="344"/>
      <c r="Q153" s="318"/>
      <c r="R153" s="346"/>
      <c r="S153" s="318"/>
      <c r="T153" s="319">
        <f t="shared" si="15"/>
        <v>1440</v>
      </c>
      <c r="U153" s="422"/>
      <c r="V153" s="265"/>
    </row>
    <row r="154">
      <c r="A154" s="37"/>
      <c r="B154" s="308"/>
      <c r="C154" s="330">
        <v>6.0</v>
      </c>
      <c r="D154" s="331" t="s">
        <v>186</v>
      </c>
      <c r="E154" s="423">
        <v>12.0</v>
      </c>
      <c r="F154" s="379">
        <v>60.0</v>
      </c>
      <c r="G154" s="380"/>
      <c r="H154" s="381">
        <v>12.0</v>
      </c>
      <c r="I154" s="379">
        <v>60.0</v>
      </c>
      <c r="J154" s="337"/>
      <c r="K154" s="338">
        <v>2.0</v>
      </c>
      <c r="L154" s="424">
        <v>46001.0</v>
      </c>
      <c r="M154" s="338"/>
      <c r="N154" s="336"/>
      <c r="O154" s="338"/>
      <c r="P154" s="462"/>
      <c r="Q154" s="462"/>
      <c r="R154" s="462"/>
      <c r="S154" s="462"/>
      <c r="T154" s="319">
        <f t="shared" si="15"/>
        <v>1440</v>
      </c>
      <c r="U154" s="422"/>
      <c r="V154" s="265"/>
    </row>
    <row r="155" ht="31.5" customHeight="1">
      <c r="A155" s="37"/>
      <c r="B155" s="308"/>
      <c r="C155" s="309">
        <v>7.0</v>
      </c>
      <c r="D155" s="382" t="s">
        <v>187</v>
      </c>
      <c r="E155" s="259">
        <v>12.0</v>
      </c>
      <c r="F155" s="342">
        <v>15.0</v>
      </c>
      <c r="G155" s="318"/>
      <c r="H155" s="343">
        <v>10.0</v>
      </c>
      <c r="I155" s="342">
        <v>15.0</v>
      </c>
      <c r="J155" s="345"/>
      <c r="K155" s="346" t="s">
        <v>78</v>
      </c>
      <c r="L155" s="236">
        <v>45999.0</v>
      </c>
      <c r="M155" s="100" t="s">
        <v>73</v>
      </c>
      <c r="O155" s="261">
        <v>3101.0</v>
      </c>
      <c r="P155" s="344"/>
      <c r="Q155" s="318"/>
      <c r="R155" s="346"/>
      <c r="S155" s="318"/>
      <c r="T155" s="319">
        <f t="shared" si="15"/>
        <v>330</v>
      </c>
      <c r="U155" s="422"/>
      <c r="V155" s="265"/>
    </row>
    <row r="156" ht="34.5" customHeight="1">
      <c r="A156" s="37"/>
      <c r="B156" s="265"/>
      <c r="C156" s="277"/>
      <c r="D156" s="277"/>
      <c r="E156" s="277"/>
      <c r="F156" s="488"/>
      <c r="G156" s="277"/>
      <c r="H156" s="271"/>
      <c r="I156" s="488"/>
      <c r="J156" s="271"/>
      <c r="K156" s="488"/>
      <c r="L156" s="277"/>
      <c r="M156" s="271"/>
      <c r="N156" s="277"/>
      <c r="O156" s="277"/>
      <c r="P156" s="277"/>
      <c r="Q156" s="277"/>
      <c r="R156" s="277"/>
      <c r="S156" s="277"/>
      <c r="T156" s="292"/>
      <c r="U156" s="265"/>
      <c r="V156" s="265"/>
    </row>
    <row r="157">
      <c r="A157" s="37"/>
      <c r="B157" s="265"/>
      <c r="C157" s="294" t="s">
        <v>209</v>
      </c>
      <c r="D157" s="295"/>
      <c r="E157" s="296" t="s">
        <v>210</v>
      </c>
      <c r="F157" s="297"/>
      <c r="G157" s="297"/>
      <c r="H157" s="297"/>
      <c r="I157" s="297"/>
      <c r="J157" s="297"/>
      <c r="K157" s="297"/>
      <c r="L157" s="297"/>
      <c r="M157" s="282"/>
      <c r="N157" s="298" t="s">
        <v>211</v>
      </c>
      <c r="O157" s="268"/>
      <c r="P157" s="57"/>
      <c r="Q157" s="286"/>
      <c r="R157" s="268"/>
      <c r="S157" s="57"/>
      <c r="T157" s="292"/>
      <c r="U157" s="265"/>
      <c r="V157" s="265"/>
    </row>
    <row r="158">
      <c r="A158" s="37"/>
      <c r="B158" s="265"/>
      <c r="C158" s="301" t="s">
        <v>214</v>
      </c>
      <c r="D158" s="405">
        <v>46020.0</v>
      </c>
      <c r="E158" s="303" t="s">
        <v>215</v>
      </c>
      <c r="F158" s="22"/>
      <c r="G158" s="28"/>
      <c r="H158" s="304" t="s">
        <v>216</v>
      </c>
      <c r="I158" s="297"/>
      <c r="J158" s="282"/>
      <c r="K158" s="304"/>
      <c r="L158" s="297"/>
      <c r="M158" s="282"/>
      <c r="N158" s="304"/>
      <c r="O158" s="297"/>
      <c r="P158" s="282"/>
      <c r="Q158" s="304"/>
      <c r="R158" s="297"/>
      <c r="S158" s="282"/>
      <c r="T158" s="265"/>
      <c r="U158" s="265"/>
      <c r="V158" s="265"/>
    </row>
    <row r="159">
      <c r="A159" s="37"/>
      <c r="B159" s="470" t="s">
        <v>273</v>
      </c>
      <c r="C159" s="306" t="s">
        <v>221</v>
      </c>
      <c r="D159" s="306" t="s">
        <v>222</v>
      </c>
      <c r="E159" s="301" t="s">
        <v>223</v>
      </c>
      <c r="F159" s="301" t="s">
        <v>224</v>
      </c>
      <c r="G159" s="301" t="s">
        <v>66</v>
      </c>
      <c r="H159" s="301" t="s">
        <v>223</v>
      </c>
      <c r="I159" s="301" t="s">
        <v>224</v>
      </c>
      <c r="J159" s="301" t="s">
        <v>66</v>
      </c>
      <c r="K159" s="301" t="s">
        <v>64</v>
      </c>
      <c r="L159" s="301" t="s">
        <v>223</v>
      </c>
      <c r="M159" s="444" t="s">
        <v>266</v>
      </c>
      <c r="N159" s="282"/>
      <c r="O159" s="301" t="s">
        <v>271</v>
      </c>
      <c r="P159" s="301"/>
      <c r="Q159" s="301"/>
      <c r="R159" s="301"/>
      <c r="S159" s="466"/>
      <c r="T159" s="307" t="s">
        <v>225</v>
      </c>
      <c r="U159" s="421" t="s">
        <v>263</v>
      </c>
      <c r="V159" s="265"/>
    </row>
    <row r="160">
      <c r="A160" s="37"/>
      <c r="B160" s="308"/>
      <c r="C160" s="561">
        <v>1.0</v>
      </c>
      <c r="D160" s="506" t="s">
        <v>167</v>
      </c>
      <c r="E160" s="507">
        <v>16.0</v>
      </c>
      <c r="F160" s="508">
        <v>55.0</v>
      </c>
      <c r="G160" s="509"/>
      <c r="H160" s="507">
        <v>20.0</v>
      </c>
      <c r="I160" s="510">
        <v>50.0</v>
      </c>
      <c r="J160" s="509"/>
      <c r="K160" s="508">
        <v>2.0</v>
      </c>
      <c r="L160" s="507" t="s">
        <v>134</v>
      </c>
      <c r="M160" s="511" t="s">
        <v>124</v>
      </c>
      <c r="N160" s="25"/>
      <c r="O160" s="316"/>
      <c r="P160" s="316"/>
      <c r="Q160" s="222"/>
      <c r="R160" s="316"/>
      <c r="S160" s="316"/>
      <c r="T160" s="467">
        <f t="shared" ref="T160:T165" si="16">(E160*F160)+(H160*I160)</f>
        <v>1880</v>
      </c>
      <c r="U160" s="422"/>
      <c r="V160" s="265"/>
    </row>
    <row r="161">
      <c r="A161" s="37"/>
      <c r="B161" s="308"/>
      <c r="C161" s="562">
        <v>2.0</v>
      </c>
      <c r="D161" s="515" t="s">
        <v>169</v>
      </c>
      <c r="E161" s="516">
        <v>14.0</v>
      </c>
      <c r="F161" s="517">
        <v>15.0</v>
      </c>
      <c r="G161" s="518"/>
      <c r="H161" s="519">
        <v>18.0</v>
      </c>
      <c r="I161" s="520">
        <v>15.0</v>
      </c>
      <c r="J161" s="518"/>
      <c r="K161" s="517" t="s">
        <v>78</v>
      </c>
      <c r="L161" s="519" t="s">
        <v>134</v>
      </c>
      <c r="M161" s="521" t="s">
        <v>73</v>
      </c>
      <c r="N161" s="25"/>
      <c r="O161" s="338"/>
      <c r="P161" s="338"/>
      <c r="Q161" s="436"/>
      <c r="R161" s="338"/>
      <c r="S161" s="338"/>
      <c r="T161" s="467">
        <f t="shared" si="16"/>
        <v>480</v>
      </c>
      <c r="U161" s="422"/>
      <c r="V161" s="265"/>
    </row>
    <row r="162">
      <c r="A162" s="37"/>
      <c r="B162" s="308"/>
      <c r="C162" s="561">
        <v>3.0</v>
      </c>
      <c r="D162" s="506" t="s">
        <v>170</v>
      </c>
      <c r="E162" s="507">
        <v>8.0</v>
      </c>
      <c r="F162" s="508">
        <v>90.0</v>
      </c>
      <c r="G162" s="509"/>
      <c r="H162" s="507">
        <v>8.0</v>
      </c>
      <c r="I162" s="523">
        <v>90.0</v>
      </c>
      <c r="J162" s="509"/>
      <c r="K162" s="508">
        <v>2.0</v>
      </c>
      <c r="L162" s="524">
        <v>45510.0</v>
      </c>
      <c r="M162" s="509"/>
      <c r="N162" s="187"/>
      <c r="O162" s="346"/>
      <c r="P162" s="346"/>
      <c r="Q162" s="209"/>
      <c r="R162" s="346"/>
      <c r="S162" s="346"/>
      <c r="T162" s="467">
        <f t="shared" si="16"/>
        <v>1440</v>
      </c>
      <c r="U162" s="422"/>
      <c r="V162" s="265"/>
    </row>
    <row r="163">
      <c r="A163" s="37"/>
      <c r="B163" s="308"/>
      <c r="C163" s="562">
        <v>4.0</v>
      </c>
      <c r="D163" s="515" t="s">
        <v>171</v>
      </c>
      <c r="E163" s="519">
        <v>10.0</v>
      </c>
      <c r="F163" s="563">
        <v>180.0</v>
      </c>
      <c r="G163" s="518"/>
      <c r="H163" s="519">
        <v>10.0</v>
      </c>
      <c r="I163" s="564">
        <v>180.0</v>
      </c>
      <c r="J163" s="518"/>
      <c r="K163" s="517">
        <v>2.0</v>
      </c>
      <c r="L163" s="526">
        <v>45573.0</v>
      </c>
      <c r="M163" s="518"/>
      <c r="N163" s="527"/>
      <c r="O163" s="338"/>
      <c r="P163" s="338"/>
      <c r="Q163" s="459"/>
      <c r="R163" s="338"/>
      <c r="S163" s="338"/>
      <c r="T163" s="467">
        <f t="shared" si="16"/>
        <v>3600</v>
      </c>
      <c r="U163" s="422"/>
      <c r="V163" s="265"/>
    </row>
    <row r="164">
      <c r="A164" s="37"/>
      <c r="B164" s="308"/>
      <c r="C164" s="561">
        <v>5.0</v>
      </c>
      <c r="D164" s="506" t="s">
        <v>172</v>
      </c>
      <c r="E164" s="529">
        <v>12.0</v>
      </c>
      <c r="F164" s="508">
        <v>70.0</v>
      </c>
      <c r="G164" s="509"/>
      <c r="H164" s="529">
        <v>14.0</v>
      </c>
      <c r="I164" s="510">
        <v>70.0</v>
      </c>
      <c r="J164" s="509"/>
      <c r="K164" s="508" t="s">
        <v>78</v>
      </c>
      <c r="L164" s="530">
        <v>45636.0</v>
      </c>
      <c r="M164" s="511" t="s">
        <v>73</v>
      </c>
      <c r="N164" s="25"/>
      <c r="O164" s="346"/>
      <c r="P164" s="346"/>
      <c r="Q164" s="239"/>
      <c r="R164" s="346"/>
      <c r="S164" s="346"/>
      <c r="T164" s="467">
        <f t="shared" si="16"/>
        <v>1820</v>
      </c>
      <c r="U164" s="422"/>
      <c r="V164" s="265"/>
    </row>
    <row r="165">
      <c r="A165" s="37"/>
      <c r="B165" s="361"/>
      <c r="C165" s="562">
        <v>6.0</v>
      </c>
      <c r="D165" s="515" t="s">
        <v>174</v>
      </c>
      <c r="E165" s="519">
        <v>12.0</v>
      </c>
      <c r="F165" s="517">
        <v>22.5</v>
      </c>
      <c r="G165" s="518"/>
      <c r="H165" s="519">
        <v>10.0</v>
      </c>
      <c r="I165" s="520">
        <v>22.5</v>
      </c>
      <c r="J165" s="518"/>
      <c r="K165" s="517">
        <v>2.0</v>
      </c>
      <c r="L165" s="526">
        <v>45999.0</v>
      </c>
      <c r="M165" s="518"/>
      <c r="N165" s="527"/>
      <c r="O165" s="338"/>
      <c r="P165" s="338"/>
      <c r="Q165" s="424"/>
      <c r="R165" s="338"/>
      <c r="S165" s="338"/>
      <c r="T165" s="467">
        <f t="shared" si="16"/>
        <v>495</v>
      </c>
      <c r="U165" s="422"/>
      <c r="V165" s="265"/>
    </row>
    <row r="166" ht="33.0" customHeight="1">
      <c r="A166" s="37"/>
      <c r="B166" s="37"/>
      <c r="C166" s="567">
        <v>7.0</v>
      </c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>
      <c r="A167" s="37"/>
      <c r="B167" s="265"/>
      <c r="C167" s="294" t="s">
        <v>209</v>
      </c>
      <c r="D167" s="295"/>
      <c r="E167" s="296" t="s">
        <v>233</v>
      </c>
      <c r="F167" s="297"/>
      <c r="G167" s="297"/>
      <c r="H167" s="297"/>
      <c r="I167" s="297"/>
      <c r="J167" s="297"/>
      <c r="K167" s="297"/>
      <c r="L167" s="297"/>
      <c r="M167" s="282"/>
      <c r="N167" s="298" t="s">
        <v>211</v>
      </c>
      <c r="O167" s="268"/>
      <c r="P167" s="57"/>
      <c r="Q167" s="286"/>
      <c r="R167" s="268"/>
      <c r="S167" s="57"/>
      <c r="T167" s="292"/>
      <c r="U167" s="265"/>
      <c r="V167" s="265"/>
    </row>
    <row r="168">
      <c r="A168" s="37"/>
      <c r="B168" s="265"/>
      <c r="C168" s="301" t="s">
        <v>214</v>
      </c>
      <c r="D168" s="372">
        <v>46021.0</v>
      </c>
      <c r="E168" s="303" t="s">
        <v>215</v>
      </c>
      <c r="F168" s="22"/>
      <c r="G168" s="28"/>
      <c r="H168" s="304" t="s">
        <v>216</v>
      </c>
      <c r="I168" s="297"/>
      <c r="J168" s="282"/>
      <c r="K168" s="304"/>
      <c r="L168" s="297"/>
      <c r="M168" s="282"/>
      <c r="N168" s="304"/>
      <c r="O168" s="297"/>
      <c r="P168" s="282"/>
      <c r="Q168" s="304"/>
      <c r="R168" s="297"/>
      <c r="S168" s="282"/>
      <c r="T168" s="265"/>
      <c r="U168" s="265"/>
      <c r="V168" s="265"/>
    </row>
    <row r="169">
      <c r="A169" s="37"/>
      <c r="B169" s="456" t="s">
        <v>274</v>
      </c>
      <c r="C169" s="306" t="s">
        <v>221</v>
      </c>
      <c r="D169" s="306" t="s">
        <v>222</v>
      </c>
      <c r="E169" s="301" t="s">
        <v>223</v>
      </c>
      <c r="F169" s="301" t="s">
        <v>224</v>
      </c>
      <c r="G169" s="301" t="s">
        <v>66</v>
      </c>
      <c r="H169" s="301" t="s">
        <v>223</v>
      </c>
      <c r="I169" s="301" t="s">
        <v>224</v>
      </c>
      <c r="J169" s="301" t="s">
        <v>66</v>
      </c>
      <c r="K169" s="301" t="s">
        <v>64</v>
      </c>
      <c r="L169" s="301" t="s">
        <v>223</v>
      </c>
      <c r="M169" s="444" t="s">
        <v>266</v>
      </c>
      <c r="N169" s="282"/>
      <c r="O169" s="301" t="s">
        <v>271</v>
      </c>
      <c r="P169" s="301"/>
      <c r="Q169" s="301"/>
      <c r="R169" s="301"/>
      <c r="S169" s="466"/>
      <c r="T169" s="307" t="s">
        <v>225</v>
      </c>
      <c r="U169" s="421" t="s">
        <v>263</v>
      </c>
      <c r="V169" s="265"/>
    </row>
    <row r="170">
      <c r="A170" s="37"/>
      <c r="B170" s="308"/>
      <c r="C170" s="561">
        <v>1.0</v>
      </c>
      <c r="D170" s="506" t="s">
        <v>104</v>
      </c>
      <c r="E170" s="510">
        <v>12.0</v>
      </c>
      <c r="F170" s="508">
        <v>10.0</v>
      </c>
      <c r="G170" s="509"/>
      <c r="H170" s="510">
        <v>12.0</v>
      </c>
      <c r="I170" s="508">
        <v>10.0</v>
      </c>
      <c r="J170" s="509"/>
      <c r="K170" s="508">
        <v>2.0</v>
      </c>
      <c r="L170" s="524">
        <v>45634.0</v>
      </c>
      <c r="M170" s="537" t="s">
        <v>124</v>
      </c>
      <c r="N170" s="25"/>
      <c r="O170" s="509"/>
      <c r="P170" s="316"/>
      <c r="Q170" s="222"/>
      <c r="R170" s="316"/>
      <c r="S170" s="316"/>
      <c r="T170" s="467">
        <f t="shared" ref="T170:T176" si="17">(E170*F170)+(H170*I170)</f>
        <v>240</v>
      </c>
      <c r="U170" s="422"/>
      <c r="V170" s="265"/>
    </row>
    <row r="171">
      <c r="A171" s="37"/>
      <c r="B171" s="308"/>
      <c r="C171" s="562">
        <v>2.0</v>
      </c>
      <c r="D171" s="515" t="s">
        <v>145</v>
      </c>
      <c r="E171" s="520">
        <v>10.0</v>
      </c>
      <c r="F171" s="517">
        <v>70.0</v>
      </c>
      <c r="G171" s="518"/>
      <c r="H171" s="520">
        <v>8.0</v>
      </c>
      <c r="I171" s="517">
        <v>70.0</v>
      </c>
      <c r="J171" s="518"/>
      <c r="K171" s="517">
        <v>2.0</v>
      </c>
      <c r="L171" s="539">
        <v>45938.0</v>
      </c>
      <c r="M171" s="527"/>
      <c r="N171" s="522"/>
      <c r="O171" s="518"/>
      <c r="P171" s="338"/>
      <c r="Q171" s="436"/>
      <c r="R171" s="338"/>
      <c r="S171" s="338"/>
      <c r="T171" s="467">
        <f t="shared" si="17"/>
        <v>1260</v>
      </c>
      <c r="U171" s="422"/>
      <c r="V171" s="265"/>
    </row>
    <row r="172">
      <c r="A172" s="37"/>
      <c r="B172" s="308"/>
      <c r="C172" s="561">
        <v>3.0</v>
      </c>
      <c r="D172" s="506" t="s">
        <v>146</v>
      </c>
      <c r="E172" s="510">
        <v>8.0</v>
      </c>
      <c r="F172" s="508">
        <v>28.0</v>
      </c>
      <c r="G172" s="509"/>
      <c r="H172" s="510">
        <v>7.0</v>
      </c>
      <c r="I172" s="508">
        <v>26.0</v>
      </c>
      <c r="J172" s="509"/>
      <c r="K172" s="508">
        <v>2.0</v>
      </c>
      <c r="L172" s="524">
        <v>45509.0</v>
      </c>
      <c r="M172" s="187"/>
      <c r="N172" s="531"/>
      <c r="O172" s="509"/>
      <c r="P172" s="346"/>
      <c r="Q172" s="209"/>
      <c r="R172" s="346"/>
      <c r="S172" s="346"/>
      <c r="T172" s="467">
        <f t="shared" si="17"/>
        <v>406</v>
      </c>
      <c r="U172" s="422"/>
      <c r="V172" s="265"/>
    </row>
    <row r="173">
      <c r="A173" s="37"/>
      <c r="B173" s="308"/>
      <c r="C173" s="562">
        <v>4.0</v>
      </c>
      <c r="D173" s="515" t="s">
        <v>76</v>
      </c>
      <c r="E173" s="564">
        <v>14.0</v>
      </c>
      <c r="F173" s="563">
        <v>7.5</v>
      </c>
      <c r="G173" s="518"/>
      <c r="H173" s="520">
        <v>16.0</v>
      </c>
      <c r="I173" s="517">
        <v>7.5</v>
      </c>
      <c r="J173" s="518"/>
      <c r="K173" s="517" t="s">
        <v>78</v>
      </c>
      <c r="L173" s="517" t="s">
        <v>108</v>
      </c>
      <c r="M173" s="541" t="s">
        <v>97</v>
      </c>
      <c r="N173" s="25"/>
      <c r="O173" s="542">
        <v>3101.0</v>
      </c>
      <c r="P173" s="338"/>
      <c r="Q173" s="459"/>
      <c r="R173" s="338"/>
      <c r="S173" s="338"/>
      <c r="T173" s="467">
        <f t="shared" si="17"/>
        <v>225</v>
      </c>
      <c r="U173" s="422"/>
      <c r="V173" s="265"/>
    </row>
    <row r="174">
      <c r="A174" s="37"/>
      <c r="B174" s="308"/>
      <c r="C174" s="561">
        <v>5.0</v>
      </c>
      <c r="D174" s="506" t="s">
        <v>147</v>
      </c>
      <c r="E174" s="510">
        <v>14.0</v>
      </c>
      <c r="F174" s="508">
        <v>5.0</v>
      </c>
      <c r="G174" s="509"/>
      <c r="H174" s="510">
        <v>16.0</v>
      </c>
      <c r="I174" s="508">
        <v>5.0</v>
      </c>
      <c r="J174" s="509"/>
      <c r="K174" s="508" t="s">
        <v>78</v>
      </c>
      <c r="L174" s="507" t="s">
        <v>134</v>
      </c>
      <c r="M174" s="537" t="s">
        <v>73</v>
      </c>
      <c r="N174" s="25"/>
      <c r="O174" s="543">
        <v>3101.0</v>
      </c>
      <c r="P174" s="346"/>
      <c r="Q174" s="239"/>
      <c r="R174" s="346"/>
      <c r="S174" s="346"/>
      <c r="T174" s="467">
        <f t="shared" si="17"/>
        <v>150</v>
      </c>
      <c r="U174" s="422"/>
      <c r="V174" s="265"/>
    </row>
    <row r="175">
      <c r="A175" s="37"/>
      <c r="B175" s="308"/>
      <c r="C175" s="562">
        <v>6.0</v>
      </c>
      <c r="D175" s="515" t="s">
        <v>149</v>
      </c>
      <c r="E175" s="520">
        <v>12.0</v>
      </c>
      <c r="F175" s="563">
        <v>22.5</v>
      </c>
      <c r="G175" s="518"/>
      <c r="H175" s="520">
        <v>12.0</v>
      </c>
      <c r="I175" s="563">
        <v>22.5</v>
      </c>
      <c r="J175" s="518"/>
      <c r="K175" s="517">
        <v>2.0</v>
      </c>
      <c r="L175" s="539">
        <v>45999.0</v>
      </c>
      <c r="M175" s="527"/>
      <c r="N175" s="522"/>
      <c r="O175" s="542">
        <v>3101.0</v>
      </c>
      <c r="P175" s="338"/>
      <c r="Q175" s="424"/>
      <c r="R175" s="338"/>
      <c r="S175" s="338"/>
      <c r="T175" s="467">
        <f t="shared" si="17"/>
        <v>540</v>
      </c>
      <c r="U175" s="422"/>
      <c r="V175" s="265"/>
    </row>
    <row r="176" ht="33.0" customHeight="1">
      <c r="A176" s="37"/>
      <c r="B176" s="361"/>
      <c r="C176" s="561">
        <v>7.0</v>
      </c>
      <c r="D176" s="506" t="s">
        <v>151</v>
      </c>
      <c r="E176" s="508">
        <v>12.0</v>
      </c>
      <c r="F176" s="508">
        <v>5.0</v>
      </c>
      <c r="G176" s="509"/>
      <c r="H176" s="508">
        <v>16.0</v>
      </c>
      <c r="I176" s="508">
        <v>4.5</v>
      </c>
      <c r="J176" s="509"/>
      <c r="K176" s="508" t="s">
        <v>78</v>
      </c>
      <c r="L176" s="508" t="s">
        <v>134</v>
      </c>
      <c r="M176" s="511" t="s">
        <v>73</v>
      </c>
      <c r="N176" s="25"/>
      <c r="O176" s="543">
        <v>3200.0</v>
      </c>
      <c r="P176" s="346"/>
      <c r="Q176" s="239"/>
      <c r="R176" s="346"/>
      <c r="S176" s="261"/>
      <c r="T176" s="467">
        <f t="shared" si="17"/>
        <v>132</v>
      </c>
      <c r="U176" s="422"/>
      <c r="V176" s="37"/>
    </row>
    <row r="177" ht="33.0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>
      <c r="A178" s="37"/>
      <c r="B178" s="265"/>
      <c r="C178" s="294" t="s">
        <v>209</v>
      </c>
      <c r="D178" s="295"/>
      <c r="E178" s="296" t="s">
        <v>241</v>
      </c>
      <c r="F178" s="297"/>
      <c r="G178" s="297"/>
      <c r="H178" s="297"/>
      <c r="I178" s="297"/>
      <c r="J178" s="297"/>
      <c r="K178" s="297"/>
      <c r="L178" s="297"/>
      <c r="M178" s="282"/>
      <c r="N178" s="298" t="s">
        <v>211</v>
      </c>
      <c r="O178" s="268"/>
      <c r="P178" s="57"/>
      <c r="Q178" s="286"/>
      <c r="R178" s="268"/>
      <c r="S178" s="57"/>
      <c r="T178" s="292"/>
      <c r="U178" s="265"/>
      <c r="V178" s="265"/>
    </row>
    <row r="179">
      <c r="A179" s="37"/>
      <c r="B179" s="265"/>
      <c r="C179" s="301" t="s">
        <v>214</v>
      </c>
      <c r="D179" s="372">
        <v>46022.0</v>
      </c>
      <c r="E179" s="303" t="s">
        <v>215</v>
      </c>
      <c r="F179" s="22"/>
      <c r="G179" s="28"/>
      <c r="H179" s="304" t="s">
        <v>216</v>
      </c>
      <c r="I179" s="297"/>
      <c r="J179" s="282"/>
      <c r="K179" s="304"/>
      <c r="L179" s="297"/>
      <c r="M179" s="282"/>
      <c r="N179" s="304"/>
      <c r="O179" s="297"/>
      <c r="P179" s="282"/>
      <c r="Q179" s="304"/>
      <c r="R179" s="297"/>
      <c r="S179" s="282"/>
      <c r="T179" s="265"/>
      <c r="U179" s="265"/>
      <c r="V179" s="265"/>
    </row>
    <row r="180">
      <c r="A180" s="37"/>
      <c r="B180" s="458" t="s">
        <v>276</v>
      </c>
      <c r="C180" s="306" t="s">
        <v>221</v>
      </c>
      <c r="D180" s="306" t="s">
        <v>222</v>
      </c>
      <c r="E180" s="301" t="s">
        <v>223</v>
      </c>
      <c r="F180" s="301" t="s">
        <v>224</v>
      </c>
      <c r="G180" s="301" t="s">
        <v>66</v>
      </c>
      <c r="H180" s="301" t="s">
        <v>223</v>
      </c>
      <c r="I180" s="301" t="s">
        <v>224</v>
      </c>
      <c r="J180" s="301" t="s">
        <v>66</v>
      </c>
      <c r="K180" s="301" t="s">
        <v>268</v>
      </c>
      <c r="L180" s="301" t="s">
        <v>269</v>
      </c>
      <c r="M180" s="468" t="s">
        <v>270</v>
      </c>
      <c r="N180" s="282"/>
      <c r="O180" s="301" t="s">
        <v>271</v>
      </c>
      <c r="P180" s="301"/>
      <c r="Q180" s="301"/>
      <c r="R180" s="301"/>
      <c r="S180" s="301"/>
      <c r="T180" s="307" t="s">
        <v>225</v>
      </c>
      <c r="U180" s="421" t="s">
        <v>263</v>
      </c>
      <c r="V180" s="265"/>
    </row>
    <row r="181">
      <c r="A181" s="37"/>
      <c r="B181" s="308"/>
      <c r="C181" s="309">
        <v>1.0</v>
      </c>
      <c r="D181" s="360" t="s">
        <v>154</v>
      </c>
      <c r="E181" s="413">
        <v>10.0</v>
      </c>
      <c r="F181" s="442">
        <v>15.0</v>
      </c>
      <c r="G181" s="414"/>
      <c r="H181" s="413">
        <v>10.0</v>
      </c>
      <c r="I181" s="442">
        <v>15.0</v>
      </c>
      <c r="J181" s="317"/>
      <c r="K181" s="312">
        <v>2.0</v>
      </c>
      <c r="L181" s="209">
        <v>45573.0</v>
      </c>
      <c r="M181" s="218"/>
      <c r="N181" s="218"/>
      <c r="O181" s="316"/>
      <c r="P181" s="316"/>
      <c r="Q181" s="222"/>
      <c r="R181" s="316"/>
      <c r="S181" s="316"/>
      <c r="T181" s="319">
        <f t="shared" ref="T181:T187" si="18">(E181*F181)+(H181*I181)</f>
        <v>300</v>
      </c>
      <c r="U181" s="422"/>
      <c r="V181" s="265"/>
    </row>
    <row r="182">
      <c r="A182" s="37"/>
      <c r="B182" s="308"/>
      <c r="C182" s="330">
        <v>2.0</v>
      </c>
      <c r="D182" s="358" t="s">
        <v>155</v>
      </c>
      <c r="E182" s="427">
        <v>12.0</v>
      </c>
      <c r="F182" s="427">
        <v>20.0</v>
      </c>
      <c r="G182" s="416"/>
      <c r="H182" s="427">
        <v>12.0</v>
      </c>
      <c r="I182" s="427">
        <v>20.0</v>
      </c>
      <c r="J182" s="339"/>
      <c r="K182" s="333" t="s">
        <v>78</v>
      </c>
      <c r="L182" s="459">
        <v>45636.0</v>
      </c>
      <c r="M182" s="455" t="s">
        <v>73</v>
      </c>
      <c r="O182" s="338"/>
      <c r="P182" s="338"/>
      <c r="Q182" s="436"/>
      <c r="R182" s="338"/>
      <c r="S182" s="338"/>
      <c r="T182" s="319">
        <f t="shared" si="18"/>
        <v>480</v>
      </c>
      <c r="U182" s="422"/>
      <c r="V182" s="265"/>
    </row>
    <row r="183">
      <c r="A183" s="37"/>
      <c r="B183" s="308"/>
      <c r="C183" s="309">
        <v>3.0</v>
      </c>
      <c r="D183" s="360" t="s">
        <v>156</v>
      </c>
      <c r="E183" s="428">
        <v>8.0</v>
      </c>
      <c r="F183" s="428">
        <v>60.0</v>
      </c>
      <c r="G183" s="418"/>
      <c r="H183" s="417">
        <v>8.0</v>
      </c>
      <c r="I183" s="428">
        <v>60.0</v>
      </c>
      <c r="J183" s="344"/>
      <c r="K183" s="342">
        <v>2.0</v>
      </c>
      <c r="L183" s="236">
        <v>45875.0</v>
      </c>
      <c r="M183" s="218"/>
      <c r="N183" s="218"/>
      <c r="O183" s="346"/>
      <c r="P183" s="346"/>
      <c r="Q183" s="209"/>
      <c r="R183" s="346"/>
      <c r="S183" s="346"/>
      <c r="T183" s="319">
        <f t="shared" si="18"/>
        <v>960</v>
      </c>
      <c r="U183" s="422"/>
      <c r="V183" s="265"/>
    </row>
    <row r="184">
      <c r="A184" s="37"/>
      <c r="B184" s="308"/>
      <c r="C184" s="330">
        <v>4.0</v>
      </c>
      <c r="D184" s="358" t="s">
        <v>159</v>
      </c>
      <c r="E184" s="415">
        <v>12.0</v>
      </c>
      <c r="F184" s="427">
        <v>55.0</v>
      </c>
      <c r="G184" s="416"/>
      <c r="H184" s="415">
        <v>12.0</v>
      </c>
      <c r="I184" s="427">
        <v>55.0</v>
      </c>
      <c r="J184" s="339"/>
      <c r="K184" s="333">
        <v>2.0</v>
      </c>
      <c r="L184" s="459">
        <v>45636.0</v>
      </c>
      <c r="M184" s="462"/>
      <c r="N184" s="462"/>
      <c r="O184" s="338"/>
      <c r="P184" s="338"/>
      <c r="Q184" s="459"/>
      <c r="R184" s="338"/>
      <c r="S184" s="338"/>
      <c r="T184" s="319">
        <f t="shared" si="18"/>
        <v>1320</v>
      </c>
      <c r="U184" s="422"/>
      <c r="V184" s="265"/>
    </row>
    <row r="185">
      <c r="A185" s="37"/>
      <c r="B185" s="308"/>
      <c r="C185" s="309">
        <v>5.0</v>
      </c>
      <c r="D185" s="341" t="s">
        <v>275</v>
      </c>
      <c r="E185" s="428">
        <v>10.0</v>
      </c>
      <c r="F185" s="428">
        <v>50.0</v>
      </c>
      <c r="G185" s="418"/>
      <c r="H185" s="428">
        <v>10.0</v>
      </c>
      <c r="I185" s="428">
        <v>50.0</v>
      </c>
      <c r="J185" s="344"/>
      <c r="K185" s="342">
        <v>2.0</v>
      </c>
      <c r="L185" s="463">
        <v>45938.0</v>
      </c>
      <c r="M185" s="241"/>
      <c r="N185" s="241"/>
      <c r="O185" s="346"/>
      <c r="P185" s="346"/>
      <c r="Q185" s="239"/>
      <c r="R185" s="346"/>
      <c r="S185" s="346"/>
      <c r="T185" s="319">
        <f t="shared" si="18"/>
        <v>1000</v>
      </c>
      <c r="U185" s="422"/>
      <c r="V185" s="265"/>
    </row>
    <row r="186">
      <c r="A186" s="37"/>
      <c r="B186" s="308"/>
      <c r="C186" s="330">
        <v>6.0</v>
      </c>
      <c r="D186" s="358" t="s">
        <v>107</v>
      </c>
      <c r="E186" s="427">
        <v>13.0</v>
      </c>
      <c r="F186" s="415">
        <v>10.0</v>
      </c>
      <c r="G186" s="419"/>
      <c r="H186" s="427">
        <v>18.0</v>
      </c>
      <c r="I186" s="489">
        <v>45784.0</v>
      </c>
      <c r="J186" s="339"/>
      <c r="K186" s="338" t="s">
        <v>78</v>
      </c>
      <c r="L186" s="436" t="s">
        <v>134</v>
      </c>
      <c r="M186" s="455" t="s">
        <v>73</v>
      </c>
      <c r="O186" s="338">
        <v>3100.0</v>
      </c>
      <c r="P186" s="338"/>
      <c r="Q186" s="424"/>
      <c r="R186" s="338"/>
      <c r="S186" s="338"/>
      <c r="T186" s="568">
        <f t="shared" si="18"/>
        <v>824242</v>
      </c>
      <c r="U186" s="422"/>
      <c r="V186" s="265"/>
    </row>
    <row r="187">
      <c r="A187" s="37"/>
      <c r="B187" s="308"/>
      <c r="C187" s="309">
        <v>7.0</v>
      </c>
      <c r="D187" s="360" t="s">
        <v>163</v>
      </c>
      <c r="E187" s="428">
        <v>14.0</v>
      </c>
      <c r="F187" s="428">
        <v>5.0</v>
      </c>
      <c r="G187" s="420"/>
      <c r="H187" s="428">
        <v>16.0</v>
      </c>
      <c r="I187" s="428">
        <v>5.0</v>
      </c>
      <c r="J187" s="344"/>
      <c r="K187" s="342" t="s">
        <v>78</v>
      </c>
      <c r="L187" s="244" t="s">
        <v>134</v>
      </c>
      <c r="M187" s="97" t="s">
        <v>73</v>
      </c>
      <c r="O187" s="346">
        <v>3101.0</v>
      </c>
      <c r="P187" s="342"/>
      <c r="Q187" s="342"/>
      <c r="R187" s="342"/>
      <c r="S187" s="342"/>
      <c r="T187" s="319">
        <f t="shared" si="18"/>
        <v>150</v>
      </c>
      <c r="U187" s="422"/>
      <c r="V187" s="265"/>
    </row>
    <row r="188">
      <c r="A188" s="37"/>
      <c r="B188" s="569">
        <v>1.0</v>
      </c>
      <c r="C188" s="265"/>
      <c r="D188" s="265"/>
      <c r="E188" s="265"/>
      <c r="F188" s="265"/>
      <c r="G188" s="265"/>
      <c r="H188" s="265"/>
      <c r="I188" s="265"/>
      <c r="J188" s="265"/>
      <c r="K188" s="292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</row>
  </sheetData>
  <mergeCells count="291">
    <mergeCell ref="K103:M103"/>
    <mergeCell ref="M105:N105"/>
    <mergeCell ref="C102:D102"/>
    <mergeCell ref="E102:M102"/>
    <mergeCell ref="N102:P102"/>
    <mergeCell ref="Q102:S102"/>
    <mergeCell ref="E103:G103"/>
    <mergeCell ref="H103:J103"/>
    <mergeCell ref="M111:N111"/>
    <mergeCell ref="M117:N117"/>
    <mergeCell ref="M121:N121"/>
    <mergeCell ref="M122:N122"/>
    <mergeCell ref="P121:R121"/>
    <mergeCell ref="P122:R122"/>
    <mergeCell ref="K114:M114"/>
    <mergeCell ref="N114:P114"/>
    <mergeCell ref="P115:R115"/>
    <mergeCell ref="P116:R116"/>
    <mergeCell ref="P117:R117"/>
    <mergeCell ref="P118:R118"/>
    <mergeCell ref="P120:R120"/>
    <mergeCell ref="M108:N108"/>
    <mergeCell ref="M109:N109"/>
    <mergeCell ref="E113:M113"/>
    <mergeCell ref="N113:P113"/>
    <mergeCell ref="Q113:S113"/>
    <mergeCell ref="E114:G114"/>
    <mergeCell ref="Q114:S114"/>
    <mergeCell ref="H114:J114"/>
    <mergeCell ref="E124:M124"/>
    <mergeCell ref="N124:P124"/>
    <mergeCell ref="Q124:S124"/>
    <mergeCell ref="E125:G125"/>
    <mergeCell ref="H125:J125"/>
    <mergeCell ref="K125:M125"/>
    <mergeCell ref="H136:J136"/>
    <mergeCell ref="K136:M136"/>
    <mergeCell ref="N136:P136"/>
    <mergeCell ref="Q136:S136"/>
    <mergeCell ref="M131:O131"/>
    <mergeCell ref="M132:O132"/>
    <mergeCell ref="Q133:S133"/>
    <mergeCell ref="E135:M135"/>
    <mergeCell ref="N135:P135"/>
    <mergeCell ref="Q135:S135"/>
    <mergeCell ref="E136:G136"/>
    <mergeCell ref="M144:O144"/>
    <mergeCell ref="E146:M146"/>
    <mergeCell ref="E147:G147"/>
    <mergeCell ref="H147:J147"/>
    <mergeCell ref="K147:M147"/>
    <mergeCell ref="N147:P147"/>
    <mergeCell ref="M148:N148"/>
    <mergeCell ref="M137:O137"/>
    <mergeCell ref="M138:O138"/>
    <mergeCell ref="M139:O139"/>
    <mergeCell ref="M140:O140"/>
    <mergeCell ref="M141:O141"/>
    <mergeCell ref="M142:O142"/>
    <mergeCell ref="M143:O143"/>
    <mergeCell ref="M150:N150"/>
    <mergeCell ref="M155:N155"/>
    <mergeCell ref="E157:M157"/>
    <mergeCell ref="N157:P157"/>
    <mergeCell ref="Q157:S157"/>
    <mergeCell ref="E158:G158"/>
    <mergeCell ref="H158:J158"/>
    <mergeCell ref="Q158:S158"/>
    <mergeCell ref="E168:G168"/>
    <mergeCell ref="H168:J168"/>
    <mergeCell ref="K168:M168"/>
    <mergeCell ref="N168:P168"/>
    <mergeCell ref="Q168:S168"/>
    <mergeCell ref="M169:N169"/>
    <mergeCell ref="M170:N170"/>
    <mergeCell ref="K158:M158"/>
    <mergeCell ref="N158:P158"/>
    <mergeCell ref="M159:N159"/>
    <mergeCell ref="M160:N160"/>
    <mergeCell ref="M161:N161"/>
    <mergeCell ref="M164:N164"/>
    <mergeCell ref="E167:M167"/>
    <mergeCell ref="E178:M178"/>
    <mergeCell ref="E179:G179"/>
    <mergeCell ref="H179:J179"/>
    <mergeCell ref="K179:M179"/>
    <mergeCell ref="N179:P179"/>
    <mergeCell ref="Q179:S179"/>
    <mergeCell ref="M180:N180"/>
    <mergeCell ref="M182:N182"/>
    <mergeCell ref="M186:N186"/>
    <mergeCell ref="M187:N187"/>
    <mergeCell ref="N167:P167"/>
    <mergeCell ref="Q167:S167"/>
    <mergeCell ref="M173:N173"/>
    <mergeCell ref="M174:N174"/>
    <mergeCell ref="M176:N176"/>
    <mergeCell ref="N178:P178"/>
    <mergeCell ref="Q178:S178"/>
    <mergeCell ref="B137:B144"/>
    <mergeCell ref="B148:B155"/>
    <mergeCell ref="B159:B165"/>
    <mergeCell ref="B169:B176"/>
    <mergeCell ref="B180:B187"/>
    <mergeCell ref="C157:D157"/>
    <mergeCell ref="C167:D167"/>
    <mergeCell ref="C178:D178"/>
    <mergeCell ref="B104:B111"/>
    <mergeCell ref="C113:D113"/>
    <mergeCell ref="B115:B121"/>
    <mergeCell ref="C124:D124"/>
    <mergeCell ref="B126:B133"/>
    <mergeCell ref="C135:D135"/>
    <mergeCell ref="C146:D146"/>
    <mergeCell ref="K91:M91"/>
    <mergeCell ref="M92:N92"/>
    <mergeCell ref="M93:N93"/>
    <mergeCell ref="M94:N94"/>
    <mergeCell ref="M97:N97"/>
    <mergeCell ref="M99:N99"/>
    <mergeCell ref="C90:D90"/>
    <mergeCell ref="E90:M90"/>
    <mergeCell ref="N90:P90"/>
    <mergeCell ref="Q90:S90"/>
    <mergeCell ref="E91:G91"/>
    <mergeCell ref="H91:J91"/>
    <mergeCell ref="B92:B99"/>
    <mergeCell ref="N103:P103"/>
    <mergeCell ref="Q103:S103"/>
    <mergeCell ref="N146:P146"/>
    <mergeCell ref="Q146:S146"/>
    <mergeCell ref="Q147:S147"/>
    <mergeCell ref="N125:P125"/>
    <mergeCell ref="Q125:S125"/>
    <mergeCell ref="M126:O126"/>
    <mergeCell ref="Q126:S126"/>
    <mergeCell ref="M127:O127"/>
    <mergeCell ref="M128:O128"/>
    <mergeCell ref="M129:O129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A1:B7"/>
    <mergeCell ref="C3:D4"/>
    <mergeCell ref="E3:F4"/>
    <mergeCell ref="I3:L4"/>
    <mergeCell ref="M3:N4"/>
    <mergeCell ref="G6:H6"/>
    <mergeCell ref="M6:N6"/>
    <mergeCell ref="E6:F6"/>
    <mergeCell ref="C7:D7"/>
    <mergeCell ref="E7:F7"/>
    <mergeCell ref="C8:D8"/>
    <mergeCell ref="E8:F8"/>
    <mergeCell ref="C9:D9"/>
    <mergeCell ref="E9:F9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K7:L7"/>
    <mergeCell ref="M7:N7"/>
    <mergeCell ref="O7:P7"/>
    <mergeCell ref="Q7:R7"/>
    <mergeCell ref="G9:H9"/>
    <mergeCell ref="I9:J9"/>
    <mergeCell ref="K9:L9"/>
    <mergeCell ref="M9:N9"/>
    <mergeCell ref="O9:P9"/>
    <mergeCell ref="Q9:R9"/>
    <mergeCell ref="K11:L11"/>
    <mergeCell ref="E14:M14"/>
    <mergeCell ref="N14:P14"/>
    <mergeCell ref="Q14:S14"/>
    <mergeCell ref="B16:B23"/>
    <mergeCell ref="C25:D25"/>
    <mergeCell ref="C14:D14"/>
    <mergeCell ref="E15:G15"/>
    <mergeCell ref="H15:J15"/>
    <mergeCell ref="K15:M15"/>
    <mergeCell ref="N15:P15"/>
    <mergeCell ref="Q15:S15"/>
    <mergeCell ref="M18:N18"/>
    <mergeCell ref="M55:N55"/>
    <mergeCell ref="N57:P57"/>
    <mergeCell ref="Q57:S57"/>
    <mergeCell ref="M44:N44"/>
    <mergeCell ref="N46:P46"/>
    <mergeCell ref="Q46:S46"/>
    <mergeCell ref="N47:P47"/>
    <mergeCell ref="Q47:S47"/>
    <mergeCell ref="M50:N50"/>
    <mergeCell ref="M54:N54"/>
    <mergeCell ref="P62:R62"/>
    <mergeCell ref="P64:R64"/>
    <mergeCell ref="H58:J58"/>
    <mergeCell ref="K58:M58"/>
    <mergeCell ref="N58:P58"/>
    <mergeCell ref="Q58:S58"/>
    <mergeCell ref="P59:R59"/>
    <mergeCell ref="P60:R60"/>
    <mergeCell ref="P61:R61"/>
    <mergeCell ref="N26:P26"/>
    <mergeCell ref="Q26:S26"/>
    <mergeCell ref="K26:M26"/>
    <mergeCell ref="M27:O27"/>
    <mergeCell ref="B27:B33"/>
    <mergeCell ref="C35:D35"/>
    <mergeCell ref="B37:B44"/>
    <mergeCell ref="C46:D46"/>
    <mergeCell ref="B48:B55"/>
    <mergeCell ref="C57:D57"/>
    <mergeCell ref="B59:B66"/>
    <mergeCell ref="C68:D68"/>
    <mergeCell ref="M23:N23"/>
    <mergeCell ref="E25:M25"/>
    <mergeCell ref="N25:P25"/>
    <mergeCell ref="Q25:S25"/>
    <mergeCell ref="E26:G26"/>
    <mergeCell ref="H26:J26"/>
    <mergeCell ref="M32:N32"/>
    <mergeCell ref="E35:M35"/>
    <mergeCell ref="N35:P35"/>
    <mergeCell ref="Q35:S35"/>
    <mergeCell ref="E36:G36"/>
    <mergeCell ref="H36:J36"/>
    <mergeCell ref="N36:P36"/>
    <mergeCell ref="Q36:S36"/>
    <mergeCell ref="K36:M36"/>
    <mergeCell ref="E46:M46"/>
    <mergeCell ref="E47:G47"/>
    <mergeCell ref="H47:J47"/>
    <mergeCell ref="K47:M47"/>
    <mergeCell ref="E57:M57"/>
    <mergeCell ref="E58:G58"/>
    <mergeCell ref="M28:N28"/>
    <mergeCell ref="M29:N29"/>
    <mergeCell ref="M34:O34"/>
    <mergeCell ref="M37:N37"/>
    <mergeCell ref="M38:N38"/>
    <mergeCell ref="M41:N41"/>
    <mergeCell ref="M42:N42"/>
    <mergeCell ref="P65:R65"/>
    <mergeCell ref="M66:N66"/>
    <mergeCell ref="E68:M68"/>
    <mergeCell ref="N68:P68"/>
    <mergeCell ref="Q68:S68"/>
    <mergeCell ref="E69:G69"/>
    <mergeCell ref="H69:J69"/>
    <mergeCell ref="Q69:S69"/>
    <mergeCell ref="E79:M79"/>
    <mergeCell ref="N79:P79"/>
    <mergeCell ref="Q79:S79"/>
    <mergeCell ref="E80:G80"/>
    <mergeCell ref="H80:J80"/>
    <mergeCell ref="K80:M80"/>
    <mergeCell ref="N80:P80"/>
    <mergeCell ref="Q80:S80"/>
    <mergeCell ref="M77:N77"/>
    <mergeCell ref="M81:N81"/>
    <mergeCell ref="M83:N83"/>
    <mergeCell ref="M88:N88"/>
    <mergeCell ref="K69:M69"/>
    <mergeCell ref="N69:P69"/>
    <mergeCell ref="B70:B77"/>
    <mergeCell ref="M72:N72"/>
    <mergeCell ref="M76:N76"/>
    <mergeCell ref="C79:D79"/>
    <mergeCell ref="B81:B88"/>
    <mergeCell ref="N91:P91"/>
    <mergeCell ref="Q91:S91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5 Q46 Q57 Q68 Q79 Q90 Q102 Q113 Q123:S123 Q124 Q135 Q146 Q156:S156 Q157 Q167 Q178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37"/>
      <c r="B14" s="265"/>
      <c r="C14" s="294" t="s">
        <v>209</v>
      </c>
      <c r="D14" s="295"/>
      <c r="E14" s="296" t="s">
        <v>244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37"/>
      <c r="B15" s="265"/>
      <c r="C15" s="301" t="s">
        <v>214</v>
      </c>
      <c r="D15" s="372">
        <v>46027.0</v>
      </c>
      <c r="E15" s="303" t="s">
        <v>215</v>
      </c>
      <c r="F15" s="22"/>
      <c r="G15" s="28"/>
      <c r="H15" s="304" t="s">
        <v>216</v>
      </c>
      <c r="I15" s="297"/>
      <c r="J15" s="282"/>
      <c r="K15" s="304"/>
      <c r="L15" s="297"/>
      <c r="M15" s="282"/>
      <c r="N15" s="304"/>
      <c r="O15" s="297"/>
      <c r="P15" s="282"/>
      <c r="Q15" s="304"/>
      <c r="R15" s="297"/>
      <c r="S15" s="282"/>
      <c r="T15" s="265"/>
      <c r="U15" s="265"/>
      <c r="V15" s="265"/>
    </row>
    <row r="16">
      <c r="A16" s="37"/>
      <c r="B16" s="456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268</v>
      </c>
      <c r="L16" s="301" t="s">
        <v>269</v>
      </c>
      <c r="M16" s="468" t="s">
        <v>270</v>
      </c>
      <c r="N16" s="297"/>
      <c r="O16" s="282"/>
      <c r="P16" s="301" t="s">
        <v>271</v>
      </c>
      <c r="Q16" s="468"/>
      <c r="R16" s="297"/>
      <c r="S16" s="282"/>
      <c r="T16" s="307" t="s">
        <v>225</v>
      </c>
      <c r="U16" s="421" t="s">
        <v>263</v>
      </c>
      <c r="V16" s="265"/>
    </row>
    <row r="17">
      <c r="A17" s="37"/>
      <c r="B17" s="308"/>
      <c r="C17" s="309">
        <v>1.0</v>
      </c>
      <c r="D17" s="373" t="s">
        <v>167</v>
      </c>
      <c r="E17" s="374">
        <v>12.0</v>
      </c>
      <c r="F17" s="375">
        <v>60.0</v>
      </c>
      <c r="G17" s="384"/>
      <c r="H17" s="376">
        <v>12.0</v>
      </c>
      <c r="I17" s="375">
        <v>60.0</v>
      </c>
      <c r="J17" s="317"/>
      <c r="K17" s="317">
        <v>2.0</v>
      </c>
      <c r="L17" s="209">
        <v>45634.0</v>
      </c>
      <c r="M17" s="100" t="s">
        <v>124</v>
      </c>
      <c r="O17" s="25"/>
      <c r="P17" s="472">
        <v>3101.0</v>
      </c>
      <c r="Q17" s="472"/>
      <c r="R17" s="472"/>
      <c r="S17" s="472"/>
      <c r="T17" s="467">
        <f t="shared" ref="T17:T23" si="1">(E17*F17)+(H17*I17)</f>
        <v>1440</v>
      </c>
      <c r="U17" s="422"/>
      <c r="V17" s="265"/>
    </row>
    <row r="18">
      <c r="A18" s="37"/>
      <c r="B18" s="308"/>
      <c r="C18" s="330">
        <v>2.0</v>
      </c>
      <c r="D18" s="377" t="s">
        <v>189</v>
      </c>
      <c r="E18" s="378">
        <v>10.0</v>
      </c>
      <c r="F18" s="379">
        <v>27.5</v>
      </c>
      <c r="G18" s="380"/>
      <c r="H18" s="381">
        <v>12.0</v>
      </c>
      <c r="I18" s="379">
        <v>27.5</v>
      </c>
      <c r="J18" s="339"/>
      <c r="K18" s="335" t="s">
        <v>78</v>
      </c>
      <c r="L18" s="440">
        <v>46001.0</v>
      </c>
      <c r="M18" s="336" t="s">
        <v>97</v>
      </c>
      <c r="O18" s="25"/>
      <c r="P18" s="339">
        <v>3101.0</v>
      </c>
      <c r="Q18" s="339"/>
      <c r="R18" s="339"/>
      <c r="S18" s="339"/>
      <c r="T18" s="467">
        <f t="shared" si="1"/>
        <v>605</v>
      </c>
      <c r="U18" s="422"/>
      <c r="V18" s="265"/>
    </row>
    <row r="19">
      <c r="A19" s="37"/>
      <c r="B19" s="308"/>
      <c r="C19" s="309">
        <v>3.0</v>
      </c>
      <c r="D19" s="382" t="s">
        <v>277</v>
      </c>
      <c r="E19" s="374">
        <v>16.0</v>
      </c>
      <c r="F19" s="383">
        <v>60.0</v>
      </c>
      <c r="G19" s="384"/>
      <c r="H19" s="385">
        <v>16.0</v>
      </c>
      <c r="I19" s="383">
        <v>50.0</v>
      </c>
      <c r="J19" s="344"/>
      <c r="K19" s="344" t="s">
        <v>78</v>
      </c>
      <c r="L19" s="437" t="s">
        <v>134</v>
      </c>
      <c r="M19" s="100" t="s">
        <v>97</v>
      </c>
      <c r="O19" s="25"/>
      <c r="P19" s="473">
        <v>3001.0</v>
      </c>
      <c r="Q19" s="473"/>
      <c r="R19" s="473"/>
      <c r="S19" s="473"/>
      <c r="T19" s="467">
        <f t="shared" si="1"/>
        <v>1760</v>
      </c>
      <c r="U19" s="422"/>
      <c r="V19" s="265"/>
    </row>
    <row r="20">
      <c r="A20" s="37"/>
      <c r="B20" s="308"/>
      <c r="C20" s="330">
        <v>4.0</v>
      </c>
      <c r="D20" s="377" t="s">
        <v>191</v>
      </c>
      <c r="E20" s="378">
        <v>10.0</v>
      </c>
      <c r="F20" s="379">
        <v>120.0</v>
      </c>
      <c r="G20" s="380"/>
      <c r="H20" s="439">
        <v>9.0</v>
      </c>
      <c r="I20" s="379">
        <v>120.0</v>
      </c>
      <c r="J20" s="339"/>
      <c r="K20" s="339">
        <v>2.0</v>
      </c>
      <c r="L20" s="440">
        <v>45938.0</v>
      </c>
      <c r="M20" s="332"/>
      <c r="N20" s="332"/>
      <c r="O20" s="335"/>
      <c r="P20" s="339">
        <v>3001.0</v>
      </c>
      <c r="Q20" s="339"/>
      <c r="R20" s="339"/>
      <c r="S20" s="339"/>
      <c r="T20" s="467">
        <f t="shared" si="1"/>
        <v>2280</v>
      </c>
      <c r="U20" s="422"/>
      <c r="V20" s="265"/>
    </row>
    <row r="21">
      <c r="A21" s="37"/>
      <c r="B21" s="308"/>
      <c r="C21" s="309">
        <v>5.0</v>
      </c>
      <c r="D21" s="382" t="s">
        <v>192</v>
      </c>
      <c r="E21" s="374">
        <v>6.0</v>
      </c>
      <c r="F21" s="383">
        <v>80.0</v>
      </c>
      <c r="G21" s="384"/>
      <c r="H21" s="385">
        <v>8.0</v>
      </c>
      <c r="I21" s="383">
        <v>70.0</v>
      </c>
      <c r="J21" s="344"/>
      <c r="K21" s="344">
        <v>2.0</v>
      </c>
      <c r="L21" s="432">
        <v>45510.0</v>
      </c>
      <c r="M21" s="218"/>
      <c r="O21" s="25"/>
      <c r="P21" s="473"/>
      <c r="Q21" s="473"/>
      <c r="R21" s="473"/>
      <c r="S21" s="473"/>
      <c r="T21" s="467">
        <f t="shared" si="1"/>
        <v>1040</v>
      </c>
      <c r="U21" s="422"/>
      <c r="V21" s="265"/>
    </row>
    <row r="22">
      <c r="A22" s="37"/>
      <c r="B22" s="308"/>
      <c r="C22" s="330">
        <v>6.0</v>
      </c>
      <c r="D22" s="331" t="s">
        <v>267</v>
      </c>
      <c r="E22" s="378">
        <v>12.0</v>
      </c>
      <c r="F22" s="379">
        <v>40.0</v>
      </c>
      <c r="G22" s="380"/>
      <c r="H22" s="381">
        <v>8.0</v>
      </c>
      <c r="I22" s="379">
        <v>40.0</v>
      </c>
      <c r="J22" s="339"/>
      <c r="K22" s="339" t="s">
        <v>113</v>
      </c>
      <c r="L22" s="474">
        <v>45999.0</v>
      </c>
      <c r="M22" s="337" t="s">
        <v>97</v>
      </c>
      <c r="O22" s="25"/>
      <c r="P22" s="338">
        <v>3202.0</v>
      </c>
      <c r="Q22" s="338"/>
      <c r="R22" s="338"/>
      <c r="S22" s="338"/>
      <c r="T22" s="467">
        <f t="shared" si="1"/>
        <v>800</v>
      </c>
      <c r="U22" s="422"/>
      <c r="V22" s="265"/>
    </row>
    <row r="23" ht="31.5" customHeight="1">
      <c r="A23" s="37"/>
      <c r="B23" s="361"/>
      <c r="C23" s="309">
        <v>7.0</v>
      </c>
      <c r="D23" s="382"/>
      <c r="E23" s="259"/>
      <c r="F23" s="383"/>
      <c r="G23" s="318"/>
      <c r="H23" s="343"/>
      <c r="I23" s="342"/>
      <c r="J23" s="344"/>
      <c r="K23" s="481"/>
      <c r="L23" s="259"/>
      <c r="M23" s="100"/>
      <c r="N23" s="485"/>
      <c r="O23" s="491"/>
      <c r="P23" s="472"/>
      <c r="Q23" s="485"/>
      <c r="S23" s="25"/>
      <c r="T23" s="467">
        <f t="shared" si="1"/>
        <v>0</v>
      </c>
      <c r="U23" s="422"/>
      <c r="V23" s="265"/>
    </row>
    <row r="24" ht="34.5" customHeight="1">
      <c r="A24" s="37"/>
      <c r="B24" s="265"/>
      <c r="C24" s="265"/>
      <c r="D24" s="265"/>
      <c r="E24" s="265"/>
      <c r="F24" s="265"/>
      <c r="G24" s="265"/>
      <c r="H24" s="265"/>
      <c r="I24" s="265"/>
      <c r="J24" s="292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37"/>
      <c r="B25" s="265"/>
      <c r="C25" s="294" t="s">
        <v>209</v>
      </c>
      <c r="D25" s="295"/>
      <c r="E25" s="296" t="s">
        <v>257</v>
      </c>
      <c r="F25" s="297"/>
      <c r="G25" s="297"/>
      <c r="H25" s="297"/>
      <c r="I25" s="297"/>
      <c r="J25" s="297"/>
      <c r="K25" s="297"/>
      <c r="L25" s="297"/>
      <c r="M25" s="282"/>
      <c r="N25" s="298" t="s">
        <v>211</v>
      </c>
      <c r="O25" s="268"/>
      <c r="P25" s="57"/>
      <c r="Q25" s="286"/>
      <c r="R25" s="268"/>
      <c r="S25" s="57"/>
      <c r="T25" s="292"/>
      <c r="U25" s="265"/>
      <c r="V25" s="265"/>
    </row>
    <row r="26">
      <c r="A26" s="37"/>
      <c r="B26" s="265"/>
      <c r="C26" s="301" t="s">
        <v>214</v>
      </c>
      <c r="D26" s="372">
        <v>46029.0</v>
      </c>
      <c r="E26" s="303" t="s">
        <v>215</v>
      </c>
      <c r="F26" s="22"/>
      <c r="G26" s="28"/>
      <c r="H26" s="304" t="s">
        <v>216</v>
      </c>
      <c r="I26" s="297"/>
      <c r="J26" s="282"/>
      <c r="K26" s="304"/>
      <c r="L26" s="297"/>
      <c r="M26" s="282"/>
      <c r="N26" s="304"/>
      <c r="O26" s="297"/>
      <c r="P26" s="282"/>
      <c r="Q26" s="304"/>
      <c r="R26" s="297"/>
      <c r="S26" s="282"/>
      <c r="T26" s="265"/>
      <c r="U26" s="265"/>
      <c r="V26" s="265"/>
    </row>
    <row r="27">
      <c r="A27" s="37"/>
      <c r="B27" s="456" t="s">
        <v>234</v>
      </c>
      <c r="C27" s="306" t="s">
        <v>221</v>
      </c>
      <c r="D27" s="306" t="s">
        <v>222</v>
      </c>
      <c r="E27" s="301" t="s">
        <v>223</v>
      </c>
      <c r="F27" s="301" t="s">
        <v>224</v>
      </c>
      <c r="G27" s="301" t="s">
        <v>66</v>
      </c>
      <c r="H27" s="301" t="s">
        <v>223</v>
      </c>
      <c r="I27" s="301" t="s">
        <v>224</v>
      </c>
      <c r="J27" s="301" t="s">
        <v>66</v>
      </c>
      <c r="K27" s="301" t="s">
        <v>268</v>
      </c>
      <c r="L27" s="301" t="s">
        <v>269</v>
      </c>
      <c r="M27" s="468" t="s">
        <v>270</v>
      </c>
      <c r="N27" s="297"/>
      <c r="O27" s="282"/>
      <c r="P27" s="301" t="s">
        <v>271</v>
      </c>
      <c r="Q27" s="301"/>
      <c r="R27" s="301"/>
      <c r="S27" s="301"/>
      <c r="T27" s="307" t="s">
        <v>225</v>
      </c>
      <c r="U27" s="421" t="s">
        <v>263</v>
      </c>
      <c r="V27" s="265"/>
    </row>
    <row r="28">
      <c r="A28" s="37"/>
      <c r="B28" s="308"/>
      <c r="C28" s="309">
        <v>1.0</v>
      </c>
      <c r="D28" s="373" t="s">
        <v>127</v>
      </c>
      <c r="E28" s="312">
        <v>12.0</v>
      </c>
      <c r="F28" s="312">
        <v>10.0</v>
      </c>
      <c r="G28" s="318"/>
      <c r="H28" s="313">
        <v>10.0</v>
      </c>
      <c r="I28" s="312">
        <v>10.0</v>
      </c>
      <c r="J28" s="317"/>
      <c r="K28" s="312">
        <v>2.0</v>
      </c>
      <c r="L28" s="312" t="s">
        <v>134</v>
      </c>
      <c r="M28" s="318"/>
      <c r="O28" s="25"/>
      <c r="P28" s="317"/>
      <c r="Q28" s="438"/>
      <c r="R28" s="438"/>
      <c r="S28" s="438"/>
      <c r="T28" s="319">
        <f t="shared" ref="T28:T34" si="2">(E28*F28)+(H28*I28)</f>
        <v>220</v>
      </c>
      <c r="U28" s="422"/>
      <c r="V28" s="265"/>
    </row>
    <row r="29">
      <c r="A29" s="37"/>
      <c r="B29" s="308"/>
      <c r="C29" s="330">
        <v>2.0</v>
      </c>
      <c r="D29" s="377" t="s">
        <v>178</v>
      </c>
      <c r="E29" s="423">
        <v>8.0</v>
      </c>
      <c r="F29" s="333">
        <v>50.0</v>
      </c>
      <c r="G29" s="336"/>
      <c r="H29" s="334">
        <v>7.0</v>
      </c>
      <c r="I29" s="333">
        <v>50.0</v>
      </c>
      <c r="J29" s="339"/>
      <c r="K29" s="339">
        <v>2.0</v>
      </c>
      <c r="L29" s="440">
        <v>45938.0</v>
      </c>
      <c r="M29" s="336"/>
      <c r="O29" s="25"/>
      <c r="P29" s="339"/>
      <c r="Q29" s="336"/>
      <c r="R29" s="336"/>
      <c r="S29" s="336"/>
      <c r="T29" s="319">
        <f t="shared" si="2"/>
        <v>750</v>
      </c>
      <c r="U29" s="422"/>
      <c r="V29" s="265"/>
    </row>
    <row r="30">
      <c r="A30" s="37"/>
      <c r="B30" s="308"/>
      <c r="C30" s="309">
        <v>3.0</v>
      </c>
      <c r="D30" s="382" t="s">
        <v>179</v>
      </c>
      <c r="E30" s="259">
        <v>8.0</v>
      </c>
      <c r="F30" s="383">
        <v>45.0</v>
      </c>
      <c r="G30" s="318"/>
      <c r="H30" s="343">
        <v>7.0</v>
      </c>
      <c r="I30" s="342">
        <v>45.0</v>
      </c>
      <c r="J30" s="344"/>
      <c r="K30" s="481">
        <v>2.0</v>
      </c>
      <c r="L30" s="432">
        <v>45510.0</v>
      </c>
      <c r="M30" s="318"/>
      <c r="O30" s="25"/>
      <c r="P30" s="344"/>
      <c r="Q30" s="318"/>
      <c r="R30" s="318"/>
      <c r="S30" s="318"/>
      <c r="T30" s="319">
        <f t="shared" si="2"/>
        <v>675</v>
      </c>
      <c r="U30" s="422"/>
      <c r="V30" s="265"/>
    </row>
    <row r="31">
      <c r="A31" s="37"/>
      <c r="B31" s="308"/>
      <c r="C31" s="330">
        <v>4.0</v>
      </c>
      <c r="D31" s="377" t="s">
        <v>180</v>
      </c>
      <c r="E31" s="423">
        <v>10.0</v>
      </c>
      <c r="F31" s="379">
        <v>30.0</v>
      </c>
      <c r="G31" s="336"/>
      <c r="H31" s="334">
        <v>10.0</v>
      </c>
      <c r="I31" s="333">
        <v>30.0</v>
      </c>
      <c r="J31" s="339"/>
      <c r="K31" s="339">
        <v>2.0</v>
      </c>
      <c r="L31" s="440">
        <v>45938.0</v>
      </c>
      <c r="M31" s="336"/>
      <c r="O31" s="25"/>
      <c r="P31" s="339"/>
      <c r="Q31" s="336"/>
      <c r="R31" s="336"/>
      <c r="S31" s="336"/>
      <c r="T31" s="319">
        <f t="shared" si="2"/>
        <v>600</v>
      </c>
      <c r="U31" s="422"/>
      <c r="V31" s="265"/>
    </row>
    <row r="32">
      <c r="A32" s="37"/>
      <c r="B32" s="308"/>
      <c r="C32" s="309">
        <v>5.0</v>
      </c>
      <c r="D32" s="382" t="s">
        <v>141</v>
      </c>
      <c r="E32" s="259">
        <v>14.0</v>
      </c>
      <c r="F32" s="383">
        <v>12.5</v>
      </c>
      <c r="G32" s="318"/>
      <c r="H32" s="343">
        <v>9.0</v>
      </c>
      <c r="I32" s="342">
        <v>15.0</v>
      </c>
      <c r="J32" s="344"/>
      <c r="K32" s="481" t="s">
        <v>78</v>
      </c>
      <c r="L32" s="566" t="s">
        <v>108</v>
      </c>
      <c r="M32" s="100" t="s">
        <v>73</v>
      </c>
      <c r="O32" s="25"/>
      <c r="P32" s="344">
        <v>3101.0</v>
      </c>
      <c r="Q32" s="318"/>
      <c r="R32" s="318"/>
      <c r="S32" s="318"/>
      <c r="T32" s="319">
        <f t="shared" si="2"/>
        <v>310</v>
      </c>
      <c r="U32" s="422"/>
      <c r="V32" s="265"/>
    </row>
    <row r="33">
      <c r="A33" s="37"/>
      <c r="B33" s="308"/>
      <c r="C33" s="330">
        <v>6.0</v>
      </c>
      <c r="D33" s="331" t="s">
        <v>139</v>
      </c>
      <c r="E33" s="423">
        <v>12.0</v>
      </c>
      <c r="F33" s="379">
        <v>30.0</v>
      </c>
      <c r="G33" s="336"/>
      <c r="H33" s="334">
        <v>14.0</v>
      </c>
      <c r="I33" s="333">
        <v>30.0</v>
      </c>
      <c r="J33" s="339"/>
      <c r="K33" s="339" t="s">
        <v>78</v>
      </c>
      <c r="L33" s="440">
        <v>45999.0</v>
      </c>
      <c r="M33" s="336" t="s">
        <v>97</v>
      </c>
      <c r="O33" s="25"/>
      <c r="P33" s="339"/>
      <c r="Q33" s="336"/>
      <c r="R33" s="336"/>
      <c r="S33" s="336"/>
      <c r="T33" s="319">
        <f t="shared" si="2"/>
        <v>780</v>
      </c>
      <c r="U33" s="422"/>
      <c r="V33" s="265"/>
    </row>
    <row r="34" ht="42.75" customHeight="1">
      <c r="A34" s="37"/>
      <c r="B34" s="361"/>
      <c r="C34" s="309">
        <v>7.0</v>
      </c>
      <c r="D34" s="382" t="s">
        <v>88</v>
      </c>
      <c r="E34" s="259">
        <v>12.0</v>
      </c>
      <c r="F34" s="383">
        <v>8.0</v>
      </c>
      <c r="G34" s="318"/>
      <c r="H34" s="343">
        <v>11.0</v>
      </c>
      <c r="I34" s="342">
        <v>8.0</v>
      </c>
      <c r="J34" s="344"/>
      <c r="K34" s="481" t="s">
        <v>78</v>
      </c>
      <c r="L34" s="566" t="s">
        <v>108</v>
      </c>
      <c r="M34" s="100" t="s">
        <v>73</v>
      </c>
      <c r="O34" s="25"/>
      <c r="P34" s="472">
        <v>3101.0</v>
      </c>
      <c r="Q34" s="318"/>
      <c r="R34" s="318"/>
      <c r="S34" s="318"/>
      <c r="T34" s="319">
        <f t="shared" si="2"/>
        <v>184</v>
      </c>
      <c r="U34" s="422"/>
      <c r="V34" s="265"/>
    </row>
    <row r="35">
      <c r="A35" s="37"/>
      <c r="B35" s="265"/>
      <c r="C35" s="265"/>
      <c r="D35" s="265"/>
      <c r="E35" s="265"/>
      <c r="F35" s="265"/>
      <c r="G35" s="265"/>
      <c r="H35" s="265"/>
      <c r="I35" s="265"/>
      <c r="J35" s="292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</row>
    <row r="36">
      <c r="A36" s="37"/>
      <c r="B36" s="265"/>
      <c r="C36" s="294" t="s">
        <v>209</v>
      </c>
      <c r="D36" s="295"/>
      <c r="E36" s="296" t="s">
        <v>248</v>
      </c>
      <c r="F36" s="297"/>
      <c r="G36" s="297"/>
      <c r="H36" s="297"/>
      <c r="I36" s="297"/>
      <c r="J36" s="297"/>
      <c r="K36" s="297"/>
      <c r="L36" s="297"/>
      <c r="M36" s="282"/>
      <c r="N36" s="298" t="s">
        <v>211</v>
      </c>
      <c r="O36" s="268"/>
      <c r="P36" s="57"/>
      <c r="Q36" s="286"/>
      <c r="R36" s="268"/>
      <c r="S36" s="57"/>
      <c r="T36" s="292"/>
      <c r="U36" s="265"/>
      <c r="V36" s="265"/>
    </row>
    <row r="37">
      <c r="A37" s="37"/>
      <c r="B37" s="265"/>
      <c r="C37" s="301" t="s">
        <v>214</v>
      </c>
      <c r="D37" s="372">
        <v>46031.0</v>
      </c>
      <c r="E37" s="303" t="s">
        <v>215</v>
      </c>
      <c r="F37" s="22"/>
      <c r="G37" s="28"/>
      <c r="H37" s="304" t="s">
        <v>216</v>
      </c>
      <c r="I37" s="297"/>
      <c r="J37" s="282"/>
      <c r="K37" s="304"/>
      <c r="L37" s="297"/>
      <c r="M37" s="282"/>
      <c r="N37" s="304"/>
      <c r="O37" s="297"/>
      <c r="P37" s="282"/>
      <c r="Q37" s="304"/>
      <c r="R37" s="297"/>
      <c r="S37" s="282"/>
      <c r="T37" s="265"/>
      <c r="U37" s="265"/>
      <c r="V37" s="265"/>
    </row>
    <row r="38" ht="33.75" customHeight="1">
      <c r="A38" s="37"/>
      <c r="B38" s="470" t="s">
        <v>242</v>
      </c>
      <c r="C38" s="306" t="s">
        <v>221</v>
      </c>
      <c r="D38" s="306" t="s">
        <v>222</v>
      </c>
      <c r="E38" s="301" t="s">
        <v>223</v>
      </c>
      <c r="F38" s="301" t="s">
        <v>224</v>
      </c>
      <c r="G38" s="301" t="s">
        <v>66</v>
      </c>
      <c r="H38" s="301" t="s">
        <v>223</v>
      </c>
      <c r="I38" s="301" t="s">
        <v>224</v>
      </c>
      <c r="J38" s="301" t="s">
        <v>66</v>
      </c>
      <c r="K38" s="301" t="s">
        <v>268</v>
      </c>
      <c r="L38" s="301" t="s">
        <v>269</v>
      </c>
      <c r="M38" s="468" t="s">
        <v>270</v>
      </c>
      <c r="N38" s="282"/>
      <c r="O38" s="301" t="s">
        <v>271</v>
      </c>
      <c r="P38" s="301"/>
      <c r="Q38" s="301"/>
      <c r="R38" s="301"/>
      <c r="S38" s="301"/>
      <c r="T38" s="307" t="s">
        <v>225</v>
      </c>
      <c r="U38" s="421" t="s">
        <v>263</v>
      </c>
      <c r="V38" s="265"/>
    </row>
    <row r="39" ht="33.75" customHeight="1">
      <c r="A39" s="37"/>
      <c r="B39" s="308"/>
      <c r="C39" s="309">
        <v>1.0</v>
      </c>
      <c r="D39" s="373" t="s">
        <v>130</v>
      </c>
      <c r="E39" s="259">
        <v>12.0</v>
      </c>
      <c r="F39" s="375">
        <v>12.0</v>
      </c>
      <c r="G39" s="384"/>
      <c r="H39" s="376">
        <v>12.0</v>
      </c>
      <c r="I39" s="375">
        <v>12.0</v>
      </c>
      <c r="J39" s="315"/>
      <c r="K39" s="316">
        <v>2.0</v>
      </c>
      <c r="L39" s="236">
        <v>45999.0</v>
      </c>
      <c r="M39" s="346"/>
      <c r="N39" s="317"/>
      <c r="O39" s="316"/>
      <c r="P39" s="317"/>
      <c r="Q39" s="318"/>
      <c r="R39" s="316"/>
      <c r="S39" s="318"/>
      <c r="T39" s="319">
        <f t="shared" ref="T39:T45" si="3">(E39*F39)+(H39*I39)</f>
        <v>288</v>
      </c>
      <c r="U39" s="422"/>
      <c r="V39" s="265"/>
    </row>
    <row r="40" ht="33.75" customHeight="1">
      <c r="A40" s="37"/>
      <c r="B40" s="308"/>
      <c r="C40" s="330">
        <v>2.0</v>
      </c>
      <c r="D40" s="377" t="s">
        <v>183</v>
      </c>
      <c r="E40" s="423">
        <v>12.0</v>
      </c>
      <c r="F40" s="379">
        <v>12.5</v>
      </c>
      <c r="G40" s="380"/>
      <c r="H40" s="381">
        <v>16.0</v>
      </c>
      <c r="I40" s="379">
        <v>12.5</v>
      </c>
      <c r="J40" s="337"/>
      <c r="K40" s="338" t="s">
        <v>78</v>
      </c>
      <c r="L40" s="436" t="s">
        <v>134</v>
      </c>
      <c r="M40" s="337" t="s">
        <v>73</v>
      </c>
      <c r="N40" s="25"/>
      <c r="O40" s="338">
        <v>3101.0</v>
      </c>
      <c r="P40" s="339"/>
      <c r="Q40" s="336"/>
      <c r="R40" s="338"/>
      <c r="S40" s="336"/>
      <c r="T40" s="319">
        <f t="shared" si="3"/>
        <v>350</v>
      </c>
      <c r="U40" s="422"/>
      <c r="V40" s="265"/>
    </row>
    <row r="41" ht="33.75" customHeight="1">
      <c r="A41" s="37"/>
      <c r="B41" s="308"/>
      <c r="C41" s="309">
        <v>3.0</v>
      </c>
      <c r="D41" s="382" t="s">
        <v>131</v>
      </c>
      <c r="E41" s="259">
        <v>12.0</v>
      </c>
      <c r="F41" s="383">
        <v>50.0</v>
      </c>
      <c r="H41" s="385">
        <v>9.0</v>
      </c>
      <c r="I41" s="383">
        <v>50.0</v>
      </c>
      <c r="J41" s="345"/>
      <c r="K41" s="346">
        <v>2.0</v>
      </c>
      <c r="L41" s="236">
        <v>46001.0</v>
      </c>
      <c r="M41" s="346"/>
      <c r="N41" s="318"/>
      <c r="O41" s="346"/>
      <c r="P41" s="344"/>
      <c r="Q41" s="318"/>
      <c r="R41" s="346"/>
      <c r="S41" s="318"/>
      <c r="T41" s="319">
        <f t="shared" si="3"/>
        <v>1050</v>
      </c>
      <c r="U41" s="422"/>
      <c r="V41" s="265"/>
    </row>
    <row r="42" ht="33.75" customHeight="1">
      <c r="A42" s="37"/>
      <c r="B42" s="308"/>
      <c r="C42" s="330">
        <v>4.0</v>
      </c>
      <c r="D42" s="377" t="s">
        <v>106</v>
      </c>
      <c r="E42" s="423">
        <v>10.0</v>
      </c>
      <c r="F42" s="379">
        <v>60.0</v>
      </c>
      <c r="G42" s="380"/>
      <c r="H42" s="381">
        <v>8.0</v>
      </c>
      <c r="I42" s="379">
        <v>60.0</v>
      </c>
      <c r="J42" s="337"/>
      <c r="K42" s="338">
        <v>2.0</v>
      </c>
      <c r="L42" s="459">
        <v>45573.0</v>
      </c>
      <c r="M42" s="338"/>
      <c r="N42" s="336"/>
      <c r="O42" s="338">
        <v>3101.0</v>
      </c>
      <c r="P42" s="339"/>
      <c r="Q42" s="336"/>
      <c r="R42" s="338"/>
      <c r="S42" s="336"/>
      <c r="T42" s="319">
        <f t="shared" si="3"/>
        <v>1080</v>
      </c>
      <c r="U42" s="422"/>
      <c r="V42" s="265"/>
    </row>
    <row r="43" ht="33.75" customHeight="1">
      <c r="A43" s="37"/>
      <c r="B43" s="308"/>
      <c r="C43" s="309">
        <v>5.0</v>
      </c>
      <c r="D43" s="382" t="s">
        <v>185</v>
      </c>
      <c r="E43" s="244">
        <v>12.0</v>
      </c>
      <c r="F43" s="383">
        <v>70.0</v>
      </c>
      <c r="G43" s="384"/>
      <c r="H43" s="385">
        <v>12.0</v>
      </c>
      <c r="I43" s="383">
        <v>70.0</v>
      </c>
      <c r="J43" s="345"/>
      <c r="K43" s="346">
        <v>2.0</v>
      </c>
      <c r="L43" s="239">
        <v>45636.0</v>
      </c>
      <c r="M43" s="346"/>
      <c r="N43" s="344"/>
      <c r="O43" s="346"/>
      <c r="P43" s="344"/>
      <c r="Q43" s="318"/>
      <c r="R43" s="346"/>
      <c r="S43" s="318"/>
      <c r="T43" s="319">
        <f t="shared" si="3"/>
        <v>1680</v>
      </c>
      <c r="U43" s="422"/>
      <c r="V43" s="265"/>
    </row>
    <row r="44" ht="33.75" customHeight="1">
      <c r="A44" s="37"/>
      <c r="B44" s="308"/>
      <c r="C44" s="330">
        <v>6.0</v>
      </c>
      <c r="D44" s="331" t="s">
        <v>186</v>
      </c>
      <c r="E44" s="423">
        <v>12.0</v>
      </c>
      <c r="F44" s="379">
        <v>60.0</v>
      </c>
      <c r="G44" s="380"/>
      <c r="H44" s="381">
        <v>12.0</v>
      </c>
      <c r="I44" s="379">
        <v>60.0</v>
      </c>
      <c r="J44" s="337"/>
      <c r="K44" s="338">
        <v>2.0</v>
      </c>
      <c r="L44" s="424">
        <v>46001.0</v>
      </c>
      <c r="M44" s="338"/>
      <c r="N44" s="336"/>
      <c r="O44" s="338"/>
      <c r="P44" s="462"/>
      <c r="Q44" s="462"/>
      <c r="R44" s="462"/>
      <c r="S44" s="462"/>
      <c r="T44" s="319">
        <f t="shared" si="3"/>
        <v>1440</v>
      </c>
      <c r="U44" s="422"/>
      <c r="V44" s="265"/>
    </row>
    <row r="45" ht="33.0" customHeight="1">
      <c r="A45" s="37"/>
      <c r="B45" s="308"/>
      <c r="C45" s="309">
        <v>7.0</v>
      </c>
      <c r="D45" s="382" t="s">
        <v>187</v>
      </c>
      <c r="E45" s="259">
        <v>12.0</v>
      </c>
      <c r="F45" s="342">
        <v>15.0</v>
      </c>
      <c r="G45" s="318"/>
      <c r="H45" s="343">
        <v>10.0</v>
      </c>
      <c r="I45" s="342">
        <v>15.0</v>
      </c>
      <c r="J45" s="345"/>
      <c r="K45" s="346" t="s">
        <v>78</v>
      </c>
      <c r="L45" s="236">
        <v>45999.0</v>
      </c>
      <c r="M45" s="100" t="s">
        <v>73</v>
      </c>
      <c r="O45" s="261">
        <v>3101.0</v>
      </c>
      <c r="P45" s="344"/>
      <c r="Q45" s="318"/>
      <c r="R45" s="346"/>
      <c r="S45" s="318"/>
      <c r="T45" s="319">
        <f t="shared" si="3"/>
        <v>330</v>
      </c>
      <c r="U45" s="422"/>
      <c r="V45" s="265"/>
    </row>
    <row r="46" ht="30.0" customHeight="1">
      <c r="A46" s="264"/>
      <c r="B46" s="368"/>
      <c r="C46" s="265"/>
      <c r="D46" s="265"/>
      <c r="E46" s="265"/>
      <c r="F46" s="265"/>
      <c r="G46" s="265"/>
      <c r="H46" s="265"/>
      <c r="I46" s="265"/>
      <c r="J46" s="292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</row>
    <row r="47">
      <c r="A47" s="37"/>
      <c r="B47" s="265"/>
      <c r="C47" s="294" t="s">
        <v>209</v>
      </c>
      <c r="D47" s="295"/>
      <c r="E47" s="296" t="s">
        <v>210</v>
      </c>
      <c r="F47" s="297"/>
      <c r="G47" s="297"/>
      <c r="H47" s="297"/>
      <c r="I47" s="297"/>
      <c r="J47" s="297"/>
      <c r="K47" s="297"/>
      <c r="L47" s="297"/>
      <c r="M47" s="282"/>
      <c r="N47" s="298" t="s">
        <v>211</v>
      </c>
      <c r="O47" s="268"/>
      <c r="P47" s="57"/>
      <c r="Q47" s="286"/>
      <c r="R47" s="268"/>
      <c r="S47" s="57"/>
      <c r="T47" s="292"/>
      <c r="U47" s="265"/>
      <c r="V47" s="265"/>
    </row>
    <row r="48">
      <c r="A48" s="37"/>
      <c r="B48" s="265"/>
      <c r="C48" s="301" t="s">
        <v>214</v>
      </c>
      <c r="D48" s="372">
        <v>46032.0</v>
      </c>
      <c r="E48" s="303" t="s">
        <v>215</v>
      </c>
      <c r="F48" s="22"/>
      <c r="G48" s="28"/>
      <c r="H48" s="304" t="s">
        <v>216</v>
      </c>
      <c r="I48" s="297"/>
      <c r="J48" s="282"/>
      <c r="K48" s="304"/>
      <c r="L48" s="297"/>
      <c r="M48" s="282"/>
      <c r="N48" s="304"/>
      <c r="O48" s="297"/>
      <c r="P48" s="282"/>
      <c r="Q48" s="304"/>
      <c r="R48" s="297"/>
      <c r="S48" s="282"/>
      <c r="T48" s="265"/>
      <c r="U48" s="265"/>
      <c r="V48" s="265"/>
    </row>
    <row r="49">
      <c r="A49" s="37"/>
      <c r="B49" s="470" t="s">
        <v>245</v>
      </c>
      <c r="C49" s="306" t="s">
        <v>221</v>
      </c>
      <c r="D49" s="306" t="s">
        <v>222</v>
      </c>
      <c r="E49" s="301" t="s">
        <v>223</v>
      </c>
      <c r="F49" s="301" t="s">
        <v>224</v>
      </c>
      <c r="G49" s="301" t="s">
        <v>66</v>
      </c>
      <c r="H49" s="301" t="s">
        <v>223</v>
      </c>
      <c r="I49" s="301" t="s">
        <v>224</v>
      </c>
      <c r="J49" s="301" t="s">
        <v>66</v>
      </c>
      <c r="K49" s="301" t="s">
        <v>64</v>
      </c>
      <c r="L49" s="301" t="s">
        <v>223</v>
      </c>
      <c r="M49" s="444" t="s">
        <v>266</v>
      </c>
      <c r="N49" s="282"/>
      <c r="O49" s="301" t="s">
        <v>271</v>
      </c>
      <c r="P49" s="301"/>
      <c r="Q49" s="301"/>
      <c r="R49" s="301"/>
      <c r="S49" s="466"/>
      <c r="T49" s="307" t="s">
        <v>225</v>
      </c>
      <c r="U49" s="421" t="s">
        <v>263</v>
      </c>
      <c r="V49" s="265"/>
    </row>
    <row r="50" ht="33.75" customHeight="1">
      <c r="A50" s="37"/>
      <c r="B50" s="308"/>
      <c r="C50" s="561">
        <v>1.0</v>
      </c>
      <c r="D50" s="506" t="s">
        <v>167</v>
      </c>
      <c r="E50" s="507">
        <v>16.0</v>
      </c>
      <c r="F50" s="508">
        <v>55.0</v>
      </c>
      <c r="G50" s="509"/>
      <c r="H50" s="507">
        <v>20.0</v>
      </c>
      <c r="I50" s="510">
        <v>50.0</v>
      </c>
      <c r="J50" s="509"/>
      <c r="K50" s="508">
        <v>2.0</v>
      </c>
      <c r="L50" s="507" t="s">
        <v>134</v>
      </c>
      <c r="M50" s="511" t="s">
        <v>124</v>
      </c>
      <c r="N50" s="25"/>
      <c r="O50" s="316"/>
      <c r="P50" s="316"/>
      <c r="Q50" s="222"/>
      <c r="R50" s="316"/>
      <c r="S50" s="316"/>
      <c r="T50" s="467">
        <f t="shared" ref="T50:T55" si="4">(E50*F50)+(H50*I50)</f>
        <v>1880</v>
      </c>
      <c r="U50" s="422"/>
      <c r="V50" s="265"/>
    </row>
    <row r="51" ht="33.75" customHeight="1">
      <c r="A51" s="37"/>
      <c r="B51" s="308"/>
      <c r="C51" s="562">
        <v>2.0</v>
      </c>
      <c r="D51" s="515" t="s">
        <v>169</v>
      </c>
      <c r="E51" s="516">
        <v>14.0</v>
      </c>
      <c r="F51" s="517">
        <v>15.0</v>
      </c>
      <c r="G51" s="518"/>
      <c r="H51" s="519">
        <v>18.0</v>
      </c>
      <c r="I51" s="520">
        <v>15.0</v>
      </c>
      <c r="J51" s="518"/>
      <c r="K51" s="517" t="s">
        <v>78</v>
      </c>
      <c r="L51" s="519" t="s">
        <v>134</v>
      </c>
      <c r="M51" s="521" t="s">
        <v>73</v>
      </c>
      <c r="N51" s="25"/>
      <c r="O51" s="338"/>
      <c r="P51" s="338"/>
      <c r="Q51" s="436"/>
      <c r="R51" s="338"/>
      <c r="S51" s="338"/>
      <c r="T51" s="467">
        <f t="shared" si="4"/>
        <v>480</v>
      </c>
      <c r="U51" s="422"/>
      <c r="V51" s="265"/>
    </row>
    <row r="52" ht="33.75" customHeight="1">
      <c r="A52" s="37"/>
      <c r="B52" s="308"/>
      <c r="C52" s="561">
        <v>3.0</v>
      </c>
      <c r="D52" s="506" t="s">
        <v>170</v>
      </c>
      <c r="E52" s="507">
        <v>8.0</v>
      </c>
      <c r="F52" s="508">
        <v>90.0</v>
      </c>
      <c r="G52" s="509"/>
      <c r="H52" s="507">
        <v>8.0</v>
      </c>
      <c r="I52" s="523">
        <v>90.0</v>
      </c>
      <c r="J52" s="509"/>
      <c r="K52" s="508">
        <v>2.0</v>
      </c>
      <c r="L52" s="524">
        <v>45510.0</v>
      </c>
      <c r="M52" s="509"/>
      <c r="N52" s="187"/>
      <c r="O52" s="346"/>
      <c r="P52" s="346"/>
      <c r="Q52" s="209"/>
      <c r="R52" s="346"/>
      <c r="S52" s="346"/>
      <c r="T52" s="467">
        <f t="shared" si="4"/>
        <v>1440</v>
      </c>
      <c r="U52" s="422"/>
      <c r="V52" s="265"/>
    </row>
    <row r="53" ht="33.75" customHeight="1">
      <c r="A53" s="37"/>
      <c r="B53" s="308"/>
      <c r="C53" s="562">
        <v>4.0</v>
      </c>
      <c r="D53" s="515" t="s">
        <v>171</v>
      </c>
      <c r="E53" s="519">
        <v>10.0</v>
      </c>
      <c r="F53" s="563">
        <v>180.0</v>
      </c>
      <c r="G53" s="518"/>
      <c r="H53" s="519">
        <v>10.0</v>
      </c>
      <c r="I53" s="564">
        <v>180.0</v>
      </c>
      <c r="J53" s="518"/>
      <c r="K53" s="517">
        <v>2.0</v>
      </c>
      <c r="L53" s="526">
        <v>45573.0</v>
      </c>
      <c r="M53" s="518"/>
      <c r="N53" s="527"/>
      <c r="O53" s="338"/>
      <c r="P53" s="338"/>
      <c r="Q53" s="459"/>
      <c r="R53" s="338"/>
      <c r="S53" s="338"/>
      <c r="T53" s="467">
        <f t="shared" si="4"/>
        <v>3600</v>
      </c>
      <c r="U53" s="422"/>
      <c r="V53" s="265"/>
    </row>
    <row r="54" ht="33.75" customHeight="1">
      <c r="A54" s="37"/>
      <c r="B54" s="308"/>
      <c r="C54" s="561">
        <v>5.0</v>
      </c>
      <c r="D54" s="506" t="s">
        <v>172</v>
      </c>
      <c r="E54" s="529">
        <v>12.0</v>
      </c>
      <c r="F54" s="508">
        <v>70.0</v>
      </c>
      <c r="G54" s="509"/>
      <c r="H54" s="529">
        <v>14.0</v>
      </c>
      <c r="I54" s="510">
        <v>70.0</v>
      </c>
      <c r="J54" s="509"/>
      <c r="K54" s="508" t="s">
        <v>78</v>
      </c>
      <c r="L54" s="530">
        <v>45636.0</v>
      </c>
      <c r="M54" s="511" t="s">
        <v>73</v>
      </c>
      <c r="N54" s="25"/>
      <c r="O54" s="346"/>
      <c r="P54" s="346"/>
      <c r="Q54" s="239"/>
      <c r="R54" s="346"/>
      <c r="S54" s="346"/>
      <c r="T54" s="467">
        <f t="shared" si="4"/>
        <v>1820</v>
      </c>
      <c r="U54" s="422"/>
      <c r="V54" s="265"/>
    </row>
    <row r="55" ht="33.75" customHeight="1">
      <c r="A55" s="37"/>
      <c r="B55" s="361"/>
      <c r="C55" s="562">
        <v>6.0</v>
      </c>
      <c r="D55" s="515" t="s">
        <v>174</v>
      </c>
      <c r="E55" s="519">
        <v>12.0</v>
      </c>
      <c r="F55" s="517">
        <v>22.5</v>
      </c>
      <c r="G55" s="518"/>
      <c r="H55" s="519">
        <v>10.0</v>
      </c>
      <c r="I55" s="520">
        <v>22.5</v>
      </c>
      <c r="J55" s="518"/>
      <c r="K55" s="517">
        <v>2.0</v>
      </c>
      <c r="L55" s="526">
        <v>45999.0</v>
      </c>
      <c r="M55" s="518"/>
      <c r="N55" s="527"/>
      <c r="O55" s="338"/>
      <c r="P55" s="338"/>
      <c r="Q55" s="424"/>
      <c r="R55" s="338"/>
      <c r="S55" s="338"/>
      <c r="T55" s="467">
        <f t="shared" si="4"/>
        <v>495</v>
      </c>
      <c r="U55" s="422"/>
      <c r="V55" s="265"/>
    </row>
    <row r="56" ht="33.75" customHeight="1">
      <c r="A56" s="37"/>
      <c r="B56" s="37"/>
      <c r="C56" s="567">
        <v>7.0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ht="49.5" customHeight="1">
      <c r="A57" s="37"/>
      <c r="B57" s="265"/>
      <c r="C57" s="294" t="s">
        <v>209</v>
      </c>
      <c r="D57" s="295"/>
      <c r="E57" s="296" t="s">
        <v>233</v>
      </c>
      <c r="F57" s="297"/>
      <c r="G57" s="297"/>
      <c r="H57" s="297"/>
      <c r="I57" s="297"/>
      <c r="J57" s="297"/>
      <c r="K57" s="297"/>
      <c r="L57" s="297"/>
      <c r="M57" s="282"/>
      <c r="N57" s="298" t="s">
        <v>211</v>
      </c>
      <c r="O57" s="268"/>
      <c r="P57" s="57"/>
      <c r="Q57" s="286"/>
      <c r="R57" s="268"/>
      <c r="S57" s="57"/>
      <c r="T57" s="292"/>
      <c r="U57" s="265"/>
      <c r="V57" s="265"/>
    </row>
    <row r="58">
      <c r="A58" s="37"/>
      <c r="B58" s="265"/>
      <c r="C58" s="301" t="s">
        <v>214</v>
      </c>
      <c r="D58" s="372">
        <v>46034.0</v>
      </c>
      <c r="E58" s="303" t="s">
        <v>215</v>
      </c>
      <c r="F58" s="22"/>
      <c r="G58" s="28"/>
      <c r="H58" s="304" t="s">
        <v>216</v>
      </c>
      <c r="I58" s="297"/>
      <c r="J58" s="282"/>
      <c r="K58" s="304"/>
      <c r="L58" s="297"/>
      <c r="M58" s="282"/>
      <c r="N58" s="304"/>
      <c r="O58" s="297"/>
      <c r="P58" s="282"/>
      <c r="Q58" s="304"/>
      <c r="R58" s="297"/>
      <c r="S58" s="282"/>
      <c r="T58" s="265"/>
      <c r="U58" s="265"/>
      <c r="V58" s="265"/>
    </row>
    <row r="59">
      <c r="A59" s="37"/>
      <c r="B59" s="456" t="s">
        <v>247</v>
      </c>
      <c r="C59" s="306" t="s">
        <v>221</v>
      </c>
      <c r="D59" s="306" t="s">
        <v>222</v>
      </c>
      <c r="E59" s="301" t="s">
        <v>223</v>
      </c>
      <c r="F59" s="301" t="s">
        <v>224</v>
      </c>
      <c r="G59" s="301" t="s">
        <v>66</v>
      </c>
      <c r="H59" s="301" t="s">
        <v>223</v>
      </c>
      <c r="I59" s="301" t="s">
        <v>224</v>
      </c>
      <c r="J59" s="301" t="s">
        <v>66</v>
      </c>
      <c r="K59" s="301" t="s">
        <v>64</v>
      </c>
      <c r="L59" s="301" t="s">
        <v>223</v>
      </c>
      <c r="M59" s="444" t="s">
        <v>266</v>
      </c>
      <c r="N59" s="282"/>
      <c r="O59" s="301" t="s">
        <v>271</v>
      </c>
      <c r="P59" s="301"/>
      <c r="Q59" s="301"/>
      <c r="R59" s="301"/>
      <c r="S59" s="466"/>
      <c r="T59" s="307" t="s">
        <v>225</v>
      </c>
      <c r="U59" s="421" t="s">
        <v>263</v>
      </c>
      <c r="V59" s="265"/>
    </row>
    <row r="60">
      <c r="A60" s="37"/>
      <c r="B60" s="308"/>
      <c r="C60" s="561">
        <v>1.0</v>
      </c>
      <c r="D60" s="506" t="s">
        <v>104</v>
      </c>
      <c r="E60" s="510">
        <v>12.0</v>
      </c>
      <c r="F60" s="508">
        <v>10.0</v>
      </c>
      <c r="G60" s="509"/>
      <c r="H60" s="510">
        <v>12.0</v>
      </c>
      <c r="I60" s="508">
        <v>10.0</v>
      </c>
      <c r="J60" s="509"/>
      <c r="K60" s="508">
        <v>2.0</v>
      </c>
      <c r="L60" s="524">
        <v>45634.0</v>
      </c>
      <c r="M60" s="537" t="s">
        <v>124</v>
      </c>
      <c r="N60" s="25"/>
      <c r="O60" s="509"/>
      <c r="P60" s="316"/>
      <c r="Q60" s="222"/>
      <c r="R60" s="316"/>
      <c r="S60" s="316"/>
      <c r="T60" s="467">
        <f t="shared" ref="T60:T66" si="5">(E60*F60)+(H60*I60)</f>
        <v>240</v>
      </c>
      <c r="U60" s="422"/>
      <c r="V60" s="265"/>
    </row>
    <row r="61" ht="33.75" customHeight="1">
      <c r="A61" s="37"/>
      <c r="B61" s="308"/>
      <c r="C61" s="562">
        <v>2.0</v>
      </c>
      <c r="D61" s="515" t="s">
        <v>145</v>
      </c>
      <c r="E61" s="520">
        <v>10.0</v>
      </c>
      <c r="F61" s="517">
        <v>70.0</v>
      </c>
      <c r="G61" s="518"/>
      <c r="H61" s="520">
        <v>8.0</v>
      </c>
      <c r="I61" s="517">
        <v>70.0</v>
      </c>
      <c r="J61" s="518"/>
      <c r="K61" s="517">
        <v>2.0</v>
      </c>
      <c r="L61" s="539">
        <v>45938.0</v>
      </c>
      <c r="M61" s="527"/>
      <c r="N61" s="522"/>
      <c r="O61" s="518"/>
      <c r="P61" s="338"/>
      <c r="Q61" s="436"/>
      <c r="R61" s="338"/>
      <c r="S61" s="338"/>
      <c r="T61" s="467">
        <f t="shared" si="5"/>
        <v>1260</v>
      </c>
      <c r="U61" s="422"/>
      <c r="V61" s="265"/>
    </row>
    <row r="62" ht="33.75" customHeight="1">
      <c r="A62" s="37"/>
      <c r="B62" s="308"/>
      <c r="C62" s="561">
        <v>3.0</v>
      </c>
      <c r="D62" s="506" t="s">
        <v>146</v>
      </c>
      <c r="E62" s="510">
        <v>8.0</v>
      </c>
      <c r="F62" s="508">
        <v>28.0</v>
      </c>
      <c r="G62" s="509"/>
      <c r="H62" s="510">
        <v>7.0</v>
      </c>
      <c r="I62" s="508">
        <v>26.0</v>
      </c>
      <c r="J62" s="509"/>
      <c r="K62" s="508">
        <v>2.0</v>
      </c>
      <c r="L62" s="524">
        <v>45509.0</v>
      </c>
      <c r="M62" s="187"/>
      <c r="N62" s="531"/>
      <c r="O62" s="509"/>
      <c r="P62" s="346"/>
      <c r="Q62" s="209"/>
      <c r="R62" s="346"/>
      <c r="S62" s="346"/>
      <c r="T62" s="467">
        <f t="shared" si="5"/>
        <v>406</v>
      </c>
      <c r="U62" s="422"/>
      <c r="V62" s="265"/>
    </row>
    <row r="63" ht="33.75" customHeight="1">
      <c r="A63" s="37"/>
      <c r="B63" s="308"/>
      <c r="C63" s="562">
        <v>4.0</v>
      </c>
      <c r="D63" s="515" t="s">
        <v>76</v>
      </c>
      <c r="E63" s="564">
        <v>14.0</v>
      </c>
      <c r="F63" s="563">
        <v>7.5</v>
      </c>
      <c r="G63" s="518"/>
      <c r="H63" s="520">
        <v>16.0</v>
      </c>
      <c r="I63" s="517">
        <v>7.5</v>
      </c>
      <c r="J63" s="518"/>
      <c r="K63" s="517" t="s">
        <v>78</v>
      </c>
      <c r="L63" s="517" t="s">
        <v>108</v>
      </c>
      <c r="M63" s="541" t="s">
        <v>97</v>
      </c>
      <c r="N63" s="25"/>
      <c r="O63" s="542">
        <v>3101.0</v>
      </c>
      <c r="P63" s="338"/>
      <c r="Q63" s="459"/>
      <c r="R63" s="338"/>
      <c r="S63" s="338"/>
      <c r="T63" s="467">
        <f t="shared" si="5"/>
        <v>225</v>
      </c>
      <c r="U63" s="422"/>
      <c r="V63" s="265"/>
    </row>
    <row r="64" ht="33.75" customHeight="1">
      <c r="A64" s="37"/>
      <c r="B64" s="308"/>
      <c r="C64" s="561">
        <v>5.0</v>
      </c>
      <c r="D64" s="506" t="s">
        <v>147</v>
      </c>
      <c r="E64" s="510">
        <v>14.0</v>
      </c>
      <c r="F64" s="508">
        <v>5.0</v>
      </c>
      <c r="G64" s="509"/>
      <c r="H64" s="510">
        <v>16.0</v>
      </c>
      <c r="I64" s="508">
        <v>5.0</v>
      </c>
      <c r="J64" s="509"/>
      <c r="K64" s="508" t="s">
        <v>78</v>
      </c>
      <c r="L64" s="507" t="s">
        <v>134</v>
      </c>
      <c r="M64" s="537" t="s">
        <v>73</v>
      </c>
      <c r="N64" s="25"/>
      <c r="O64" s="543">
        <v>3101.0</v>
      </c>
      <c r="P64" s="346"/>
      <c r="Q64" s="239"/>
      <c r="R64" s="346"/>
      <c r="S64" s="346"/>
      <c r="T64" s="467">
        <f t="shared" si="5"/>
        <v>150</v>
      </c>
      <c r="U64" s="422"/>
      <c r="V64" s="265"/>
    </row>
    <row r="65" ht="33.75" customHeight="1">
      <c r="A65" s="37"/>
      <c r="B65" s="308"/>
      <c r="C65" s="562">
        <v>6.0</v>
      </c>
      <c r="D65" s="515" t="s">
        <v>149</v>
      </c>
      <c r="E65" s="520">
        <v>12.0</v>
      </c>
      <c r="F65" s="563">
        <v>22.5</v>
      </c>
      <c r="G65" s="518"/>
      <c r="H65" s="520">
        <v>12.0</v>
      </c>
      <c r="I65" s="563">
        <v>22.5</v>
      </c>
      <c r="J65" s="518"/>
      <c r="K65" s="517">
        <v>2.0</v>
      </c>
      <c r="L65" s="539">
        <v>45999.0</v>
      </c>
      <c r="M65" s="527"/>
      <c r="N65" s="522"/>
      <c r="O65" s="542">
        <v>3101.0</v>
      </c>
      <c r="P65" s="338"/>
      <c r="Q65" s="424"/>
      <c r="R65" s="338"/>
      <c r="S65" s="338"/>
      <c r="T65" s="467">
        <f t="shared" si="5"/>
        <v>540</v>
      </c>
      <c r="U65" s="422"/>
      <c r="V65" s="265"/>
    </row>
    <row r="66" ht="33.75" customHeight="1">
      <c r="A66" s="37"/>
      <c r="B66" s="361"/>
      <c r="C66" s="561">
        <v>7.0</v>
      </c>
      <c r="D66" s="506" t="s">
        <v>151</v>
      </c>
      <c r="E66" s="508">
        <v>12.0</v>
      </c>
      <c r="F66" s="508">
        <v>5.0</v>
      </c>
      <c r="G66" s="509"/>
      <c r="H66" s="508">
        <v>16.0</v>
      </c>
      <c r="I66" s="508">
        <v>4.5</v>
      </c>
      <c r="J66" s="509"/>
      <c r="K66" s="508" t="s">
        <v>78</v>
      </c>
      <c r="L66" s="508" t="s">
        <v>134</v>
      </c>
      <c r="M66" s="511" t="s">
        <v>73</v>
      </c>
      <c r="N66" s="25"/>
      <c r="O66" s="543">
        <v>3200.0</v>
      </c>
      <c r="P66" s="346"/>
      <c r="Q66" s="239"/>
      <c r="R66" s="346"/>
      <c r="S66" s="261"/>
      <c r="T66" s="467">
        <f t="shared" si="5"/>
        <v>132</v>
      </c>
      <c r="U66" s="422"/>
      <c r="V66" s="37"/>
    </row>
    <row r="67" ht="33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ht="51.0" customHeight="1">
      <c r="A68" s="37"/>
      <c r="B68" s="265"/>
      <c r="C68" s="294" t="s">
        <v>209</v>
      </c>
      <c r="D68" s="295"/>
      <c r="E68" s="296" t="s">
        <v>241</v>
      </c>
      <c r="F68" s="297"/>
      <c r="G68" s="297"/>
      <c r="H68" s="297"/>
      <c r="I68" s="297"/>
      <c r="J68" s="297"/>
      <c r="K68" s="297"/>
      <c r="L68" s="297"/>
      <c r="M68" s="282"/>
      <c r="N68" s="298" t="s">
        <v>211</v>
      </c>
      <c r="O68" s="268"/>
      <c r="P68" s="57"/>
      <c r="Q68" s="286"/>
      <c r="R68" s="268"/>
      <c r="S68" s="57"/>
      <c r="T68" s="292"/>
      <c r="U68" s="265"/>
      <c r="V68" s="265"/>
    </row>
    <row r="69">
      <c r="A69" s="37"/>
      <c r="B69" s="265"/>
      <c r="C69" s="301" t="s">
        <v>214</v>
      </c>
      <c r="D69" s="372">
        <v>46035.0</v>
      </c>
      <c r="E69" s="303" t="s">
        <v>215</v>
      </c>
      <c r="F69" s="22"/>
      <c r="G69" s="28"/>
      <c r="H69" s="304" t="s">
        <v>216</v>
      </c>
      <c r="I69" s="297"/>
      <c r="J69" s="282"/>
      <c r="K69" s="304"/>
      <c r="L69" s="297"/>
      <c r="M69" s="282"/>
      <c r="N69" s="304"/>
      <c r="O69" s="297"/>
      <c r="P69" s="282"/>
      <c r="Q69" s="304"/>
      <c r="R69" s="297"/>
      <c r="S69" s="282"/>
      <c r="T69" s="265"/>
      <c r="U69" s="265"/>
      <c r="V69" s="265"/>
    </row>
    <row r="70">
      <c r="A70" s="37"/>
      <c r="B70" s="458" t="s">
        <v>249</v>
      </c>
      <c r="C70" s="306" t="s">
        <v>221</v>
      </c>
      <c r="D70" s="306" t="s">
        <v>222</v>
      </c>
      <c r="E70" s="301" t="s">
        <v>223</v>
      </c>
      <c r="F70" s="301" t="s">
        <v>224</v>
      </c>
      <c r="G70" s="301" t="s">
        <v>66</v>
      </c>
      <c r="H70" s="301" t="s">
        <v>223</v>
      </c>
      <c r="I70" s="301" t="s">
        <v>224</v>
      </c>
      <c r="J70" s="301" t="s">
        <v>66</v>
      </c>
      <c r="K70" s="301" t="s">
        <v>268</v>
      </c>
      <c r="L70" s="301" t="s">
        <v>269</v>
      </c>
      <c r="M70" s="468" t="s">
        <v>270</v>
      </c>
      <c r="N70" s="282"/>
      <c r="O70" s="301" t="s">
        <v>271</v>
      </c>
      <c r="P70" s="301"/>
      <c r="Q70" s="301"/>
      <c r="R70" s="301"/>
      <c r="S70" s="301"/>
      <c r="T70" s="307" t="s">
        <v>225</v>
      </c>
      <c r="U70" s="421" t="s">
        <v>263</v>
      </c>
      <c r="V70" s="265"/>
    </row>
    <row r="71">
      <c r="A71" s="37"/>
      <c r="B71" s="308"/>
      <c r="C71" s="309">
        <v>1.0</v>
      </c>
      <c r="D71" s="360" t="s">
        <v>154</v>
      </c>
      <c r="E71" s="413">
        <v>10.0</v>
      </c>
      <c r="F71" s="442">
        <v>15.0</v>
      </c>
      <c r="G71" s="414"/>
      <c r="H71" s="413">
        <v>10.0</v>
      </c>
      <c r="I71" s="442">
        <v>15.0</v>
      </c>
      <c r="J71" s="317"/>
      <c r="K71" s="312">
        <v>2.0</v>
      </c>
      <c r="L71" s="209">
        <v>45573.0</v>
      </c>
      <c r="M71" s="218"/>
      <c r="N71" s="218"/>
      <c r="O71" s="316"/>
      <c r="P71" s="316"/>
      <c r="Q71" s="222"/>
      <c r="R71" s="316"/>
      <c r="S71" s="316"/>
      <c r="T71" s="319">
        <f t="shared" ref="T71:T77" si="6">(E71*F71)+(H71*I71)</f>
        <v>300</v>
      </c>
      <c r="U71" s="422"/>
      <c r="V71" s="265"/>
    </row>
    <row r="72">
      <c r="A72" s="37"/>
      <c r="B72" s="308"/>
      <c r="C72" s="330">
        <v>2.0</v>
      </c>
      <c r="D72" s="358" t="s">
        <v>155</v>
      </c>
      <c r="E72" s="427">
        <v>12.0</v>
      </c>
      <c r="F72" s="427">
        <v>20.0</v>
      </c>
      <c r="G72" s="416"/>
      <c r="H72" s="427">
        <v>12.0</v>
      </c>
      <c r="I72" s="427">
        <v>20.0</v>
      </c>
      <c r="J72" s="339"/>
      <c r="K72" s="333" t="s">
        <v>78</v>
      </c>
      <c r="L72" s="459">
        <v>45636.0</v>
      </c>
      <c r="M72" s="455" t="s">
        <v>73</v>
      </c>
      <c r="O72" s="338"/>
      <c r="P72" s="338"/>
      <c r="Q72" s="436"/>
      <c r="R72" s="338"/>
      <c r="S72" s="338"/>
      <c r="T72" s="319">
        <f t="shared" si="6"/>
        <v>480</v>
      </c>
      <c r="U72" s="422"/>
      <c r="V72" s="265"/>
    </row>
    <row r="73">
      <c r="A73" s="37"/>
      <c r="B73" s="308"/>
      <c r="C73" s="309">
        <v>3.0</v>
      </c>
      <c r="D73" s="360" t="s">
        <v>156</v>
      </c>
      <c r="E73" s="428">
        <v>8.0</v>
      </c>
      <c r="F73" s="428">
        <v>60.0</v>
      </c>
      <c r="G73" s="418"/>
      <c r="H73" s="417">
        <v>8.0</v>
      </c>
      <c r="I73" s="428">
        <v>60.0</v>
      </c>
      <c r="J73" s="344"/>
      <c r="K73" s="342">
        <v>2.0</v>
      </c>
      <c r="L73" s="236">
        <v>45875.0</v>
      </c>
      <c r="M73" s="218"/>
      <c r="N73" s="218"/>
      <c r="O73" s="346"/>
      <c r="P73" s="346"/>
      <c r="Q73" s="209"/>
      <c r="R73" s="346"/>
      <c r="S73" s="346"/>
      <c r="T73" s="319">
        <f t="shared" si="6"/>
        <v>960</v>
      </c>
      <c r="U73" s="422"/>
      <c r="V73" s="265"/>
    </row>
    <row r="74">
      <c r="A74" s="37"/>
      <c r="B74" s="308"/>
      <c r="C74" s="330">
        <v>4.0</v>
      </c>
      <c r="D74" s="358" t="s">
        <v>159</v>
      </c>
      <c r="E74" s="415">
        <v>12.0</v>
      </c>
      <c r="F74" s="427">
        <v>55.0</v>
      </c>
      <c r="G74" s="416"/>
      <c r="H74" s="415">
        <v>12.0</v>
      </c>
      <c r="I74" s="427">
        <v>55.0</v>
      </c>
      <c r="J74" s="339"/>
      <c r="K74" s="333">
        <v>2.0</v>
      </c>
      <c r="L74" s="459">
        <v>45636.0</v>
      </c>
      <c r="M74" s="462"/>
      <c r="N74" s="462"/>
      <c r="O74" s="338"/>
      <c r="P74" s="338"/>
      <c r="Q74" s="459"/>
      <c r="R74" s="338"/>
      <c r="S74" s="338"/>
      <c r="T74" s="319">
        <f t="shared" si="6"/>
        <v>1320</v>
      </c>
      <c r="U74" s="422"/>
      <c r="V74" s="265"/>
    </row>
    <row r="75">
      <c r="A75" s="37"/>
      <c r="B75" s="308"/>
      <c r="C75" s="309">
        <v>5.0</v>
      </c>
      <c r="D75" s="341" t="s">
        <v>275</v>
      </c>
      <c r="E75" s="428">
        <v>10.0</v>
      </c>
      <c r="F75" s="428">
        <v>50.0</v>
      </c>
      <c r="G75" s="418"/>
      <c r="H75" s="428">
        <v>10.0</v>
      </c>
      <c r="I75" s="428">
        <v>50.0</v>
      </c>
      <c r="J75" s="344"/>
      <c r="K75" s="342">
        <v>2.0</v>
      </c>
      <c r="L75" s="463">
        <v>45938.0</v>
      </c>
      <c r="M75" s="241"/>
      <c r="N75" s="241"/>
      <c r="O75" s="346"/>
      <c r="P75" s="346"/>
      <c r="Q75" s="239"/>
      <c r="R75" s="346"/>
      <c r="S75" s="346"/>
      <c r="T75" s="319">
        <f t="shared" si="6"/>
        <v>1000</v>
      </c>
      <c r="U75" s="422"/>
      <c r="V75" s="265"/>
    </row>
    <row r="76">
      <c r="A76" s="37"/>
      <c r="B76" s="308"/>
      <c r="C76" s="330">
        <v>6.0</v>
      </c>
      <c r="D76" s="358" t="s">
        <v>107</v>
      </c>
      <c r="E76" s="427">
        <v>13.0</v>
      </c>
      <c r="F76" s="415">
        <v>10.0</v>
      </c>
      <c r="G76" s="419"/>
      <c r="H76" s="427">
        <v>18.0</v>
      </c>
      <c r="I76" s="489">
        <v>45784.0</v>
      </c>
      <c r="J76" s="339"/>
      <c r="K76" s="338" t="s">
        <v>78</v>
      </c>
      <c r="L76" s="436" t="s">
        <v>134</v>
      </c>
      <c r="M76" s="455" t="s">
        <v>73</v>
      </c>
      <c r="O76" s="338">
        <v>3100.0</v>
      </c>
      <c r="P76" s="338"/>
      <c r="Q76" s="424"/>
      <c r="R76" s="338"/>
      <c r="S76" s="338"/>
      <c r="T76" s="568">
        <f t="shared" si="6"/>
        <v>824242</v>
      </c>
      <c r="U76" s="422"/>
      <c r="V76" s="265"/>
    </row>
    <row r="77">
      <c r="A77" s="37"/>
      <c r="B77" s="308"/>
      <c r="C77" s="309">
        <v>7.0</v>
      </c>
      <c r="D77" s="360" t="s">
        <v>163</v>
      </c>
      <c r="E77" s="428">
        <v>14.0</v>
      </c>
      <c r="F77" s="428">
        <v>5.0</v>
      </c>
      <c r="G77" s="420"/>
      <c r="H77" s="428">
        <v>16.0</v>
      </c>
      <c r="I77" s="428">
        <v>5.0</v>
      </c>
      <c r="J77" s="344"/>
      <c r="K77" s="342" t="s">
        <v>78</v>
      </c>
      <c r="L77" s="244" t="s">
        <v>134</v>
      </c>
      <c r="M77" s="97" t="s">
        <v>73</v>
      </c>
      <c r="O77" s="346">
        <v>3101.0</v>
      </c>
      <c r="P77" s="342"/>
      <c r="Q77" s="342"/>
      <c r="R77" s="342"/>
      <c r="S77" s="342"/>
      <c r="T77" s="319">
        <f t="shared" si="6"/>
        <v>150</v>
      </c>
      <c r="U77" s="422"/>
      <c r="V77" s="265"/>
    </row>
    <row r="78" ht="40.5" customHeight="1">
      <c r="A78" s="37"/>
      <c r="B78" s="569">
        <v>1.0</v>
      </c>
      <c r="C78" s="265"/>
      <c r="D78" s="265"/>
      <c r="E78" s="265"/>
      <c r="F78" s="265"/>
      <c r="G78" s="265"/>
      <c r="H78" s="265"/>
      <c r="I78" s="265"/>
      <c r="J78" s="265"/>
      <c r="K78" s="292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</row>
    <row r="79">
      <c r="A79" s="37"/>
      <c r="B79" s="265"/>
      <c r="C79" s="294" t="s">
        <v>209</v>
      </c>
      <c r="D79" s="295"/>
      <c r="E79" s="296" t="s">
        <v>257</v>
      </c>
      <c r="F79" s="297"/>
      <c r="G79" s="297"/>
      <c r="H79" s="297"/>
      <c r="I79" s="297"/>
      <c r="J79" s="297"/>
      <c r="K79" s="297"/>
      <c r="L79" s="297"/>
      <c r="M79" s="282"/>
      <c r="N79" s="298" t="s">
        <v>211</v>
      </c>
      <c r="O79" s="268"/>
      <c r="P79" s="57"/>
      <c r="Q79" s="286"/>
      <c r="R79" s="268"/>
      <c r="S79" s="57"/>
      <c r="T79" s="292"/>
      <c r="U79" s="265"/>
      <c r="V79" s="265"/>
    </row>
    <row r="80">
      <c r="A80" s="37"/>
      <c r="B80" s="265"/>
      <c r="C80" s="301" t="s">
        <v>214</v>
      </c>
      <c r="D80" s="372">
        <v>46036.0</v>
      </c>
      <c r="E80" s="303" t="s">
        <v>215</v>
      </c>
      <c r="F80" s="22"/>
      <c r="G80" s="28"/>
      <c r="H80" s="304" t="s">
        <v>216</v>
      </c>
      <c r="I80" s="297"/>
      <c r="J80" s="282"/>
      <c r="K80" s="304"/>
      <c r="L80" s="297"/>
      <c r="M80" s="282"/>
      <c r="N80" s="304"/>
      <c r="O80" s="297"/>
      <c r="P80" s="282"/>
      <c r="Q80" s="304"/>
      <c r="R80" s="297"/>
      <c r="S80" s="282"/>
      <c r="T80" s="265"/>
      <c r="U80" s="265"/>
      <c r="V80" s="265"/>
    </row>
    <row r="81">
      <c r="A81" s="37"/>
      <c r="B81" s="456" t="s">
        <v>251</v>
      </c>
      <c r="C81" s="306" t="s">
        <v>221</v>
      </c>
      <c r="D81" s="306" t="s">
        <v>222</v>
      </c>
      <c r="E81" s="301" t="s">
        <v>223</v>
      </c>
      <c r="F81" s="301" t="s">
        <v>224</v>
      </c>
      <c r="G81" s="301" t="s">
        <v>66</v>
      </c>
      <c r="H81" s="301" t="s">
        <v>223</v>
      </c>
      <c r="I81" s="301" t="s">
        <v>224</v>
      </c>
      <c r="J81" s="301" t="s">
        <v>66</v>
      </c>
      <c r="K81" s="301" t="s">
        <v>268</v>
      </c>
      <c r="L81" s="301" t="s">
        <v>269</v>
      </c>
      <c r="M81" s="468" t="s">
        <v>270</v>
      </c>
      <c r="N81" s="297"/>
      <c r="O81" s="282"/>
      <c r="P81" s="301" t="s">
        <v>271</v>
      </c>
      <c r="Q81" s="468"/>
      <c r="R81" s="297"/>
      <c r="S81" s="282"/>
      <c r="T81" s="307" t="s">
        <v>225</v>
      </c>
      <c r="U81" s="421" t="s">
        <v>263</v>
      </c>
      <c r="V81" s="265"/>
    </row>
    <row r="82">
      <c r="A82" s="37"/>
      <c r="B82" s="308"/>
      <c r="C82" s="309">
        <v>1.0</v>
      </c>
      <c r="D82" s="373" t="s">
        <v>127</v>
      </c>
      <c r="E82" s="312">
        <v>12.0</v>
      </c>
      <c r="F82" s="312">
        <v>10.0</v>
      </c>
      <c r="G82" s="318"/>
      <c r="H82" s="313">
        <v>10.0</v>
      </c>
      <c r="I82" s="312">
        <v>10.0</v>
      </c>
      <c r="J82" s="317"/>
      <c r="K82" s="312">
        <v>2.0</v>
      </c>
      <c r="L82" s="312" t="s">
        <v>134</v>
      </c>
      <c r="M82" s="318"/>
      <c r="O82" s="25"/>
      <c r="P82" s="317"/>
      <c r="Q82" s="485"/>
      <c r="R82" s="491"/>
      <c r="S82" s="472">
        <v>3101.0</v>
      </c>
      <c r="T82" s="467">
        <f t="shared" ref="T82:T88" si="7">(E82*F82)+(H82*I82)</f>
        <v>220</v>
      </c>
      <c r="U82" s="422"/>
      <c r="V82" s="265"/>
    </row>
    <row r="83">
      <c r="A83" s="37"/>
      <c r="B83" s="308"/>
      <c r="C83" s="330">
        <v>2.0</v>
      </c>
      <c r="D83" s="377" t="s">
        <v>178</v>
      </c>
      <c r="E83" s="423">
        <v>8.0</v>
      </c>
      <c r="F83" s="333">
        <v>60.0</v>
      </c>
      <c r="G83" s="336"/>
      <c r="H83" s="334">
        <v>7.0</v>
      </c>
      <c r="I83" s="333">
        <v>50.0</v>
      </c>
      <c r="J83" s="339"/>
      <c r="K83" s="339">
        <v>2.0</v>
      </c>
      <c r="L83" s="440">
        <v>45938.0</v>
      </c>
      <c r="M83" s="336"/>
      <c r="O83" s="25"/>
      <c r="P83" s="339"/>
      <c r="Q83" s="336"/>
      <c r="R83" s="339"/>
      <c r="S83" s="339">
        <v>3101.0</v>
      </c>
      <c r="T83" s="467">
        <f t="shared" si="7"/>
        <v>830</v>
      </c>
      <c r="U83" s="422"/>
      <c r="V83" s="265"/>
    </row>
    <row r="84">
      <c r="A84" s="37"/>
      <c r="B84" s="308"/>
      <c r="C84" s="309">
        <v>3.0</v>
      </c>
      <c r="D84" s="382" t="s">
        <v>179</v>
      </c>
      <c r="E84" s="259">
        <v>8.0</v>
      </c>
      <c r="F84" s="383">
        <v>60.0</v>
      </c>
      <c r="G84" s="318"/>
      <c r="H84" s="343">
        <v>7.0</v>
      </c>
      <c r="I84" s="342">
        <v>45.0</v>
      </c>
      <c r="J84" s="344"/>
      <c r="K84" s="481">
        <v>2.0</v>
      </c>
      <c r="L84" s="432">
        <v>45510.0</v>
      </c>
      <c r="M84" s="318"/>
      <c r="O84" s="25"/>
      <c r="P84" s="344"/>
      <c r="Q84" s="485"/>
      <c r="R84" s="491"/>
      <c r="S84" s="473">
        <v>3001.0</v>
      </c>
      <c r="T84" s="467">
        <f t="shared" si="7"/>
        <v>795</v>
      </c>
      <c r="U84" s="422"/>
      <c r="V84" s="265"/>
    </row>
    <row r="85">
      <c r="A85" s="37"/>
      <c r="B85" s="308"/>
      <c r="C85" s="330">
        <v>4.0</v>
      </c>
      <c r="D85" s="377" t="s">
        <v>180</v>
      </c>
      <c r="E85" s="423">
        <v>10.0</v>
      </c>
      <c r="F85" s="379">
        <v>30.0</v>
      </c>
      <c r="G85" s="336"/>
      <c r="H85" s="334">
        <v>10.0</v>
      </c>
      <c r="I85" s="333">
        <v>30.0</v>
      </c>
      <c r="J85" s="339"/>
      <c r="K85" s="339">
        <v>2.0</v>
      </c>
      <c r="L85" s="440">
        <v>45938.0</v>
      </c>
      <c r="M85" s="336"/>
      <c r="O85" s="25"/>
      <c r="P85" s="339"/>
      <c r="Q85" s="332"/>
      <c r="R85" s="335"/>
      <c r="S85" s="339">
        <v>3001.0</v>
      </c>
      <c r="T85" s="467">
        <f t="shared" si="7"/>
        <v>600</v>
      </c>
      <c r="U85" s="422"/>
      <c r="V85" s="265"/>
    </row>
    <row r="86">
      <c r="A86" s="37"/>
      <c r="B86" s="308"/>
      <c r="C86" s="309">
        <v>5.0</v>
      </c>
      <c r="D86" s="382" t="s">
        <v>141</v>
      </c>
      <c r="E86" s="259">
        <v>14.0</v>
      </c>
      <c r="F86" s="383">
        <v>12.5</v>
      </c>
      <c r="G86" s="318"/>
      <c r="H86" s="343">
        <v>9.0</v>
      </c>
      <c r="I86" s="342">
        <v>15.0</v>
      </c>
      <c r="J86" s="344"/>
      <c r="K86" s="481" t="s">
        <v>78</v>
      </c>
      <c r="L86" s="566" t="s">
        <v>108</v>
      </c>
      <c r="M86" s="100" t="s">
        <v>73</v>
      </c>
      <c r="O86" s="25"/>
      <c r="P86" s="344">
        <v>3101.0</v>
      </c>
      <c r="Q86" s="228"/>
      <c r="R86" s="418"/>
      <c r="S86" s="473"/>
      <c r="T86" s="467">
        <f t="shared" si="7"/>
        <v>310</v>
      </c>
      <c r="U86" s="422"/>
      <c r="V86" s="265"/>
    </row>
    <row r="87">
      <c r="A87" s="37"/>
      <c r="B87" s="308"/>
      <c r="C87" s="330">
        <v>6.0</v>
      </c>
      <c r="D87" s="331" t="s">
        <v>139</v>
      </c>
      <c r="E87" s="423">
        <v>12.0</v>
      </c>
      <c r="F87" s="379">
        <v>30.0</v>
      </c>
      <c r="G87" s="336"/>
      <c r="H87" s="334">
        <v>14.0</v>
      </c>
      <c r="I87" s="333">
        <v>30.0</v>
      </c>
      <c r="J87" s="339"/>
      <c r="K87" s="339" t="s">
        <v>78</v>
      </c>
      <c r="L87" s="440">
        <v>45999.0</v>
      </c>
      <c r="M87" s="336" t="s">
        <v>97</v>
      </c>
      <c r="O87" s="25"/>
      <c r="P87" s="339"/>
      <c r="Q87" s="336"/>
      <c r="R87" s="339"/>
      <c r="S87" s="338">
        <v>3202.0</v>
      </c>
      <c r="T87" s="467">
        <f t="shared" si="7"/>
        <v>780</v>
      </c>
      <c r="U87" s="422"/>
      <c r="V87" s="265"/>
    </row>
    <row r="88">
      <c r="A88" s="37"/>
      <c r="B88" s="361"/>
      <c r="C88" s="309">
        <v>7.0</v>
      </c>
      <c r="D88" s="382" t="s">
        <v>88</v>
      </c>
      <c r="E88" s="259">
        <v>12.0</v>
      </c>
      <c r="F88" s="383">
        <v>10.0</v>
      </c>
      <c r="G88" s="318"/>
      <c r="H88" s="343">
        <v>11.0</v>
      </c>
      <c r="I88" s="342">
        <v>8.0</v>
      </c>
      <c r="J88" s="344"/>
      <c r="K88" s="481" t="s">
        <v>78</v>
      </c>
      <c r="L88" s="566" t="s">
        <v>108</v>
      </c>
      <c r="M88" s="100" t="s">
        <v>73</v>
      </c>
      <c r="O88" s="25"/>
      <c r="P88" s="472">
        <v>3101.0</v>
      </c>
      <c r="Q88" s="485"/>
      <c r="S88" s="25"/>
      <c r="T88" s="467">
        <f t="shared" si="7"/>
        <v>208</v>
      </c>
      <c r="U88" s="422"/>
      <c r="V88" s="265"/>
    </row>
    <row r="89" ht="27.0" customHeight="1">
      <c r="A89" s="37"/>
      <c r="B89" s="265"/>
      <c r="C89" s="265"/>
      <c r="D89" s="265"/>
      <c r="E89" s="265"/>
      <c r="F89" s="265"/>
      <c r="G89" s="265"/>
      <c r="H89" s="265"/>
      <c r="I89" s="265"/>
      <c r="J89" s="292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</row>
    <row r="90">
      <c r="A90" s="37"/>
      <c r="B90" s="265"/>
      <c r="C90" s="294" t="s">
        <v>209</v>
      </c>
      <c r="D90" s="295"/>
      <c r="E90" s="296" t="s">
        <v>248</v>
      </c>
      <c r="F90" s="297"/>
      <c r="G90" s="297"/>
      <c r="H90" s="297"/>
      <c r="I90" s="297"/>
      <c r="J90" s="297"/>
      <c r="K90" s="297"/>
      <c r="L90" s="297"/>
      <c r="M90" s="282"/>
      <c r="N90" s="298" t="s">
        <v>211</v>
      </c>
      <c r="O90" s="268"/>
      <c r="P90" s="57"/>
      <c r="Q90" s="286"/>
      <c r="R90" s="268"/>
      <c r="S90" s="57"/>
      <c r="T90" s="292"/>
      <c r="U90" s="265"/>
      <c r="V90" s="265"/>
    </row>
    <row r="91">
      <c r="A91" s="37"/>
      <c r="B91" s="265"/>
      <c r="C91" s="301" t="s">
        <v>214</v>
      </c>
      <c r="D91" s="372">
        <v>46041.0</v>
      </c>
      <c r="E91" s="303" t="s">
        <v>215</v>
      </c>
      <c r="F91" s="22"/>
      <c r="G91" s="28"/>
      <c r="H91" s="304" t="s">
        <v>216</v>
      </c>
      <c r="I91" s="297"/>
      <c r="J91" s="282"/>
      <c r="K91" s="304"/>
      <c r="L91" s="297"/>
      <c r="M91" s="282"/>
      <c r="N91" s="304"/>
      <c r="O91" s="297"/>
      <c r="P91" s="282"/>
      <c r="Q91" s="304"/>
      <c r="R91" s="297"/>
      <c r="S91" s="282"/>
      <c r="T91" s="265"/>
      <c r="U91" s="265"/>
      <c r="V91" s="265"/>
    </row>
    <row r="92">
      <c r="A92" s="37"/>
      <c r="B92" s="470" t="s">
        <v>255</v>
      </c>
      <c r="C92" s="306" t="s">
        <v>221</v>
      </c>
      <c r="D92" s="306" t="s">
        <v>222</v>
      </c>
      <c r="E92" s="301" t="s">
        <v>223</v>
      </c>
      <c r="F92" s="301" t="s">
        <v>224</v>
      </c>
      <c r="G92" s="301" t="s">
        <v>66</v>
      </c>
      <c r="H92" s="301" t="s">
        <v>223</v>
      </c>
      <c r="I92" s="301" t="s">
        <v>224</v>
      </c>
      <c r="J92" s="301" t="s">
        <v>66</v>
      </c>
      <c r="K92" s="301" t="s">
        <v>268</v>
      </c>
      <c r="L92" s="301" t="s">
        <v>269</v>
      </c>
      <c r="M92" s="468" t="s">
        <v>270</v>
      </c>
      <c r="N92" s="282"/>
      <c r="O92" s="301" t="s">
        <v>271</v>
      </c>
      <c r="P92" s="301"/>
      <c r="Q92" s="301"/>
      <c r="R92" s="301"/>
      <c r="S92" s="301"/>
      <c r="T92" s="307" t="s">
        <v>225</v>
      </c>
      <c r="U92" s="421" t="s">
        <v>263</v>
      </c>
      <c r="V92" s="265"/>
    </row>
    <row r="93">
      <c r="A93" s="37"/>
      <c r="B93" s="308"/>
      <c r="C93" s="309">
        <v>1.0</v>
      </c>
      <c r="D93" s="373" t="s">
        <v>130</v>
      </c>
      <c r="E93" s="259">
        <v>12.0</v>
      </c>
      <c r="F93" s="375">
        <v>12.0</v>
      </c>
      <c r="G93" s="384"/>
      <c r="H93" s="376">
        <v>12.0</v>
      </c>
      <c r="I93" s="375">
        <v>12.0</v>
      </c>
      <c r="J93" s="315"/>
      <c r="K93" s="316">
        <v>2.0</v>
      </c>
      <c r="L93" s="236">
        <v>45999.0</v>
      </c>
      <c r="M93" s="346"/>
      <c r="N93" s="317"/>
      <c r="O93" s="316"/>
      <c r="P93" s="317"/>
      <c r="Q93" s="318"/>
      <c r="R93" s="316"/>
      <c r="S93" s="318"/>
      <c r="T93" s="319">
        <f t="shared" ref="T93:T98" si="8">(E93*F93)+(H93*I93)</f>
        <v>288</v>
      </c>
      <c r="U93" s="422"/>
      <c r="V93" s="265"/>
    </row>
    <row r="94" ht="33.75" customHeight="1">
      <c r="A94" s="37"/>
      <c r="B94" s="308"/>
      <c r="C94" s="330">
        <v>2.0</v>
      </c>
      <c r="D94" s="377" t="s">
        <v>183</v>
      </c>
      <c r="E94" s="423">
        <v>16.0</v>
      </c>
      <c r="F94" s="379">
        <v>12.0</v>
      </c>
      <c r="G94" s="380"/>
      <c r="H94" s="381">
        <v>17.0</v>
      </c>
      <c r="I94" s="379">
        <v>12.0</v>
      </c>
      <c r="J94" s="337"/>
      <c r="K94" s="338" t="s">
        <v>78</v>
      </c>
      <c r="L94" s="436" t="s">
        <v>134</v>
      </c>
      <c r="M94" s="337" t="s">
        <v>73</v>
      </c>
      <c r="N94" s="25"/>
      <c r="O94" s="338">
        <v>3101.0</v>
      </c>
      <c r="P94" s="339"/>
      <c r="Q94" s="336"/>
      <c r="R94" s="338"/>
      <c r="S94" s="336"/>
      <c r="T94" s="319">
        <f t="shared" si="8"/>
        <v>396</v>
      </c>
      <c r="U94" s="422"/>
      <c r="V94" s="265"/>
    </row>
    <row r="95">
      <c r="A95" s="37"/>
      <c r="B95" s="308"/>
      <c r="C95" s="309">
        <v>3.0</v>
      </c>
      <c r="D95" s="382" t="s">
        <v>131</v>
      </c>
      <c r="E95" s="259">
        <v>12.0</v>
      </c>
      <c r="F95" s="383">
        <v>50.0</v>
      </c>
      <c r="H95" s="385">
        <v>9.0</v>
      </c>
      <c r="I95" s="383">
        <v>50.0</v>
      </c>
      <c r="J95" s="345"/>
      <c r="K95" s="346">
        <v>2.0</v>
      </c>
      <c r="L95" s="236">
        <v>46001.0</v>
      </c>
      <c r="M95" s="346"/>
      <c r="N95" s="318"/>
      <c r="O95" s="346"/>
      <c r="P95" s="344"/>
      <c r="Q95" s="318"/>
      <c r="R95" s="346"/>
      <c r="S95" s="318"/>
      <c r="T95" s="319">
        <f t="shared" si="8"/>
        <v>1050</v>
      </c>
      <c r="U95" s="422"/>
      <c r="V95" s="265"/>
    </row>
    <row r="96" ht="34.5" customHeight="1">
      <c r="A96" s="37"/>
      <c r="B96" s="308"/>
      <c r="C96" s="330">
        <v>4.0</v>
      </c>
      <c r="D96" s="377" t="s">
        <v>106</v>
      </c>
      <c r="E96" s="423">
        <v>10.0</v>
      </c>
      <c r="F96" s="379">
        <v>60.0</v>
      </c>
      <c r="G96" s="380"/>
      <c r="H96" s="381">
        <v>8.0</v>
      </c>
      <c r="I96" s="379">
        <v>60.0</v>
      </c>
      <c r="J96" s="337"/>
      <c r="K96" s="338">
        <v>2.0</v>
      </c>
      <c r="L96" s="459">
        <v>45573.0</v>
      </c>
      <c r="M96" s="338"/>
      <c r="N96" s="336"/>
      <c r="O96" s="338">
        <v>3101.0</v>
      </c>
      <c r="P96" s="339"/>
      <c r="Q96" s="336"/>
      <c r="R96" s="338"/>
      <c r="S96" s="336"/>
      <c r="T96" s="319">
        <f t="shared" si="8"/>
        <v>1080</v>
      </c>
      <c r="U96" s="422"/>
      <c r="V96" s="265"/>
    </row>
    <row r="97">
      <c r="A97" s="37"/>
      <c r="B97" s="308"/>
      <c r="C97" s="309">
        <v>5.0</v>
      </c>
      <c r="D97" s="382" t="s">
        <v>185</v>
      </c>
      <c r="E97" s="244">
        <v>12.0</v>
      </c>
      <c r="F97" s="383">
        <v>80.0</v>
      </c>
      <c r="G97" s="384"/>
      <c r="H97" s="385">
        <v>10.0</v>
      </c>
      <c r="I97" s="383">
        <v>80.0</v>
      </c>
      <c r="J97" s="345"/>
      <c r="K97" s="346">
        <v>2.0</v>
      </c>
      <c r="L97" s="239">
        <v>45636.0</v>
      </c>
      <c r="M97" s="346"/>
      <c r="N97" s="344"/>
      <c r="O97" s="346"/>
      <c r="P97" s="344"/>
      <c r="Q97" s="318"/>
      <c r="R97" s="346"/>
      <c r="S97" s="318"/>
      <c r="T97" s="319">
        <f t="shared" si="8"/>
        <v>1760</v>
      </c>
      <c r="U97" s="422"/>
      <c r="V97" s="265"/>
    </row>
    <row r="98">
      <c r="A98" s="37"/>
      <c r="B98" s="361"/>
      <c r="C98" s="330">
        <v>6.0</v>
      </c>
      <c r="D98" s="331" t="s">
        <v>186</v>
      </c>
      <c r="E98" s="423">
        <v>12.0</v>
      </c>
      <c r="F98" s="379">
        <v>70.0</v>
      </c>
      <c r="G98" s="380"/>
      <c r="H98" s="381">
        <v>12.0</v>
      </c>
      <c r="I98" s="379">
        <v>60.0</v>
      </c>
      <c r="J98" s="337"/>
      <c r="K98" s="338">
        <v>2.0</v>
      </c>
      <c r="L98" s="424">
        <v>46001.0</v>
      </c>
      <c r="M98" s="338"/>
      <c r="N98" s="336"/>
      <c r="O98" s="338"/>
      <c r="P98" s="462"/>
      <c r="Q98" s="462"/>
      <c r="R98" s="462"/>
      <c r="S98" s="462"/>
      <c r="T98" s="319">
        <f t="shared" si="8"/>
        <v>1560</v>
      </c>
      <c r="U98" s="422"/>
      <c r="V98" s="265"/>
    </row>
    <row r="99" ht="31.5" customHeight="1">
      <c r="A99" s="37"/>
      <c r="B99" s="265"/>
      <c r="C99" s="309">
        <v>7.0</v>
      </c>
      <c r="D99" s="382" t="s">
        <v>187</v>
      </c>
      <c r="E99" s="259">
        <v>12.0</v>
      </c>
      <c r="F99" s="342">
        <v>15.0</v>
      </c>
      <c r="G99" s="318"/>
      <c r="H99" s="343">
        <v>10.0</v>
      </c>
      <c r="I99" s="342">
        <v>15.0</v>
      </c>
      <c r="J99" s="345"/>
      <c r="K99" s="346" t="s">
        <v>78</v>
      </c>
      <c r="L99" s="236">
        <v>45999.0</v>
      </c>
      <c r="M99" s="100" t="s">
        <v>73</v>
      </c>
      <c r="O99" s="261">
        <v>3101.0</v>
      </c>
      <c r="P99" s="344"/>
      <c r="Q99" s="277"/>
      <c r="R99" s="277"/>
      <c r="S99" s="277"/>
      <c r="T99" s="292"/>
      <c r="U99" s="265"/>
      <c r="V99" s="265"/>
    </row>
    <row r="100" ht="26.25" customHeight="1">
      <c r="A100" s="37"/>
      <c r="B100" s="265"/>
      <c r="C100" s="277"/>
      <c r="D100" s="277"/>
      <c r="E100" s="570"/>
      <c r="F100" s="570"/>
      <c r="G100" s="570"/>
      <c r="H100" s="571"/>
      <c r="I100" s="571"/>
      <c r="J100" s="571"/>
      <c r="K100" s="571"/>
      <c r="L100" s="571"/>
      <c r="M100" s="571"/>
      <c r="N100" s="277"/>
      <c r="O100" s="277"/>
      <c r="P100" s="277"/>
      <c r="Q100" s="277"/>
      <c r="R100" s="277"/>
      <c r="S100" s="277"/>
      <c r="T100" s="292"/>
      <c r="U100" s="265"/>
      <c r="V100" s="265"/>
    </row>
    <row r="101">
      <c r="A101" s="37"/>
      <c r="B101" s="265"/>
      <c r="C101" s="294" t="s">
        <v>209</v>
      </c>
      <c r="D101" s="295"/>
      <c r="E101" s="296" t="s">
        <v>244</v>
      </c>
      <c r="F101" s="297"/>
      <c r="G101" s="297"/>
      <c r="H101" s="297"/>
      <c r="I101" s="297"/>
      <c r="J101" s="297"/>
      <c r="K101" s="297"/>
      <c r="L101" s="297"/>
      <c r="M101" s="282"/>
      <c r="N101" s="298" t="s">
        <v>211</v>
      </c>
      <c r="O101" s="268"/>
      <c r="P101" s="57"/>
      <c r="Q101" s="286"/>
      <c r="R101" s="268"/>
      <c r="S101" s="57"/>
      <c r="T101" s="292"/>
      <c r="U101" s="265"/>
      <c r="V101" s="265"/>
    </row>
    <row r="102">
      <c r="A102" s="37"/>
      <c r="B102" s="265"/>
      <c r="C102" s="301" t="s">
        <v>214</v>
      </c>
      <c r="D102" s="372">
        <v>46042.0</v>
      </c>
      <c r="E102" s="303" t="s">
        <v>215</v>
      </c>
      <c r="F102" s="22"/>
      <c r="G102" s="28"/>
      <c r="H102" s="304" t="s">
        <v>216</v>
      </c>
      <c r="I102" s="297"/>
      <c r="J102" s="282"/>
      <c r="K102" s="304"/>
      <c r="L102" s="297"/>
      <c r="M102" s="282"/>
      <c r="N102" s="304"/>
      <c r="O102" s="297"/>
      <c r="P102" s="282"/>
      <c r="Q102" s="304"/>
      <c r="R102" s="297"/>
      <c r="S102" s="282"/>
      <c r="T102" s="265"/>
      <c r="U102" s="265"/>
      <c r="V102" s="265"/>
    </row>
    <row r="103">
      <c r="A103" s="37"/>
      <c r="B103" s="470" t="s">
        <v>256</v>
      </c>
      <c r="C103" s="306" t="s">
        <v>221</v>
      </c>
      <c r="D103" s="306" t="s">
        <v>222</v>
      </c>
      <c r="E103" s="301" t="s">
        <v>223</v>
      </c>
      <c r="F103" s="301" t="s">
        <v>224</v>
      </c>
      <c r="G103" s="301" t="s">
        <v>66</v>
      </c>
      <c r="H103" s="301" t="s">
        <v>223</v>
      </c>
      <c r="I103" s="301" t="s">
        <v>224</v>
      </c>
      <c r="J103" s="301" t="s">
        <v>66</v>
      </c>
      <c r="K103" s="301" t="s">
        <v>268</v>
      </c>
      <c r="L103" s="301" t="s">
        <v>269</v>
      </c>
      <c r="M103" s="468" t="s">
        <v>270</v>
      </c>
      <c r="N103" s="297"/>
      <c r="O103" s="282"/>
      <c r="P103" s="301" t="s">
        <v>271</v>
      </c>
      <c r="Q103" s="301"/>
      <c r="R103" s="301"/>
      <c r="S103" s="466"/>
      <c r="T103" s="307" t="s">
        <v>225</v>
      </c>
      <c r="U103" s="421" t="s">
        <v>263</v>
      </c>
      <c r="V103" s="265"/>
    </row>
    <row r="104">
      <c r="A104" s="37"/>
      <c r="B104" s="308"/>
      <c r="C104" s="309">
        <v>1.0</v>
      </c>
      <c r="D104" s="373" t="s">
        <v>167</v>
      </c>
      <c r="E104" s="374">
        <v>12.0</v>
      </c>
      <c r="F104" s="375">
        <v>60.0</v>
      </c>
      <c r="G104" s="384"/>
      <c r="H104" s="376">
        <v>12.0</v>
      </c>
      <c r="I104" s="375">
        <v>60.0</v>
      </c>
      <c r="J104" s="317"/>
      <c r="K104" s="317">
        <v>2.0</v>
      </c>
      <c r="L104" s="209">
        <v>45634.0</v>
      </c>
      <c r="M104" s="100" t="s">
        <v>124</v>
      </c>
      <c r="O104" s="25"/>
      <c r="P104" s="472">
        <v>3101.0</v>
      </c>
      <c r="Q104" s="222"/>
      <c r="R104" s="316"/>
      <c r="S104" s="316"/>
      <c r="T104" s="467">
        <f t="shared" ref="T104:T109" si="9">(E104*F104)+(H104*I104)</f>
        <v>1440</v>
      </c>
      <c r="U104" s="422"/>
      <c r="V104" s="265"/>
    </row>
    <row r="105">
      <c r="A105" s="37"/>
      <c r="B105" s="308"/>
      <c r="C105" s="330">
        <v>2.0</v>
      </c>
      <c r="D105" s="377" t="s">
        <v>189</v>
      </c>
      <c r="E105" s="378">
        <v>10.0</v>
      </c>
      <c r="F105" s="379">
        <v>27.5</v>
      </c>
      <c r="G105" s="380"/>
      <c r="H105" s="381">
        <v>12.0</v>
      </c>
      <c r="I105" s="379">
        <v>27.5</v>
      </c>
      <c r="J105" s="339"/>
      <c r="K105" s="335" t="s">
        <v>78</v>
      </c>
      <c r="L105" s="440">
        <v>46001.0</v>
      </c>
      <c r="M105" s="336" t="s">
        <v>97</v>
      </c>
      <c r="O105" s="25"/>
      <c r="P105" s="339">
        <v>3101.0</v>
      </c>
      <c r="Q105" s="436"/>
      <c r="R105" s="338"/>
      <c r="S105" s="338"/>
      <c r="T105" s="467">
        <f t="shared" si="9"/>
        <v>605</v>
      </c>
      <c r="U105" s="422"/>
      <c r="V105" s="265"/>
    </row>
    <row r="106">
      <c r="A106" s="37"/>
      <c r="B106" s="308"/>
      <c r="C106" s="309">
        <v>3.0</v>
      </c>
      <c r="D106" s="382" t="s">
        <v>277</v>
      </c>
      <c r="E106" s="374">
        <v>16.0</v>
      </c>
      <c r="F106" s="383">
        <v>60.0</v>
      </c>
      <c r="G106" s="384"/>
      <c r="H106" s="385">
        <v>16.0</v>
      </c>
      <c r="I106" s="383">
        <v>50.0</v>
      </c>
      <c r="J106" s="344"/>
      <c r="K106" s="344" t="s">
        <v>78</v>
      </c>
      <c r="L106" s="437" t="s">
        <v>134</v>
      </c>
      <c r="M106" s="100" t="s">
        <v>97</v>
      </c>
      <c r="O106" s="25"/>
      <c r="P106" s="473">
        <v>3001.0</v>
      </c>
      <c r="Q106" s="209"/>
      <c r="R106" s="346"/>
      <c r="S106" s="346"/>
      <c r="T106" s="467">
        <f t="shared" si="9"/>
        <v>1760</v>
      </c>
      <c r="U106" s="422"/>
      <c r="V106" s="265"/>
    </row>
    <row r="107">
      <c r="A107" s="37"/>
      <c r="B107" s="308"/>
      <c r="C107" s="330">
        <v>4.0</v>
      </c>
      <c r="D107" s="377" t="s">
        <v>191</v>
      </c>
      <c r="E107" s="378">
        <v>10.0</v>
      </c>
      <c r="F107" s="379">
        <v>120.0</v>
      </c>
      <c r="G107" s="380"/>
      <c r="H107" s="439">
        <v>9.0</v>
      </c>
      <c r="I107" s="379">
        <v>120.0</v>
      </c>
      <c r="J107" s="339"/>
      <c r="K107" s="339">
        <v>2.0</v>
      </c>
      <c r="L107" s="440">
        <v>45938.0</v>
      </c>
      <c r="M107" s="332"/>
      <c r="N107" s="332"/>
      <c r="O107" s="335"/>
      <c r="P107" s="339">
        <v>3001.0</v>
      </c>
      <c r="Q107" s="459"/>
      <c r="R107" s="338"/>
      <c r="S107" s="338"/>
      <c r="T107" s="467">
        <f t="shared" si="9"/>
        <v>2280</v>
      </c>
      <c r="U107" s="422"/>
      <c r="V107" s="265"/>
    </row>
    <row r="108">
      <c r="A108" s="37"/>
      <c r="B108" s="308"/>
      <c r="C108" s="309">
        <v>5.0</v>
      </c>
      <c r="D108" s="382" t="s">
        <v>192</v>
      </c>
      <c r="E108" s="374">
        <v>6.0</v>
      </c>
      <c r="F108" s="383">
        <v>80.0</v>
      </c>
      <c r="G108" s="384"/>
      <c r="H108" s="385">
        <v>8.0</v>
      </c>
      <c r="I108" s="383">
        <v>70.0</v>
      </c>
      <c r="J108" s="344"/>
      <c r="K108" s="344">
        <v>2.0</v>
      </c>
      <c r="L108" s="432">
        <v>45510.0</v>
      </c>
      <c r="M108" s="218"/>
      <c r="O108" s="25"/>
      <c r="P108" s="473"/>
      <c r="Q108" s="239"/>
      <c r="R108" s="346"/>
      <c r="S108" s="346"/>
      <c r="T108" s="467">
        <f t="shared" si="9"/>
        <v>1040</v>
      </c>
      <c r="U108" s="422"/>
      <c r="V108" s="265"/>
    </row>
    <row r="109">
      <c r="A109" s="37"/>
      <c r="B109" s="361"/>
      <c r="C109" s="330">
        <v>6.0</v>
      </c>
      <c r="D109" s="331" t="s">
        <v>267</v>
      </c>
      <c r="E109" s="378">
        <v>12.0</v>
      </c>
      <c r="F109" s="379">
        <v>40.0</v>
      </c>
      <c r="G109" s="380"/>
      <c r="H109" s="381">
        <v>8.0</v>
      </c>
      <c r="I109" s="379">
        <v>40.0</v>
      </c>
      <c r="J109" s="339"/>
      <c r="K109" s="339" t="s">
        <v>113</v>
      </c>
      <c r="L109" s="474">
        <v>45999.0</v>
      </c>
      <c r="M109" s="337" t="s">
        <v>97</v>
      </c>
      <c r="O109" s="25"/>
      <c r="P109" s="338">
        <v>3202.0</v>
      </c>
      <c r="Q109" s="424"/>
      <c r="R109" s="338"/>
      <c r="S109" s="338"/>
      <c r="T109" s="467">
        <f t="shared" si="9"/>
        <v>800</v>
      </c>
      <c r="U109" s="422"/>
      <c r="V109" s="265"/>
    </row>
    <row r="110" ht="33.0" customHeight="1">
      <c r="A110" s="37"/>
      <c r="B110" s="37"/>
      <c r="C110" s="567">
        <v>7.0</v>
      </c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>
      <c r="A111" s="37"/>
      <c r="B111" s="265"/>
      <c r="C111" s="294" t="s">
        <v>209</v>
      </c>
      <c r="D111" s="295"/>
      <c r="E111" s="296" t="s">
        <v>233</v>
      </c>
      <c r="F111" s="297"/>
      <c r="G111" s="297"/>
      <c r="H111" s="297"/>
      <c r="I111" s="297"/>
      <c r="J111" s="297"/>
      <c r="K111" s="297"/>
      <c r="L111" s="297"/>
      <c r="M111" s="282"/>
      <c r="N111" s="298" t="s">
        <v>211</v>
      </c>
      <c r="O111" s="268"/>
      <c r="P111" s="57"/>
      <c r="Q111" s="286"/>
      <c r="R111" s="268"/>
      <c r="S111" s="57"/>
      <c r="T111" s="292"/>
      <c r="U111" s="265"/>
      <c r="V111" s="265"/>
    </row>
    <row r="112">
      <c r="A112" s="37"/>
      <c r="B112" s="265"/>
      <c r="C112" s="301" t="s">
        <v>214</v>
      </c>
      <c r="D112" s="372">
        <v>46044.0</v>
      </c>
      <c r="E112" s="303" t="s">
        <v>215</v>
      </c>
      <c r="F112" s="22"/>
      <c r="G112" s="28"/>
      <c r="H112" s="304" t="s">
        <v>216</v>
      </c>
      <c r="I112" s="297"/>
      <c r="J112" s="282"/>
      <c r="K112" s="304"/>
      <c r="L112" s="297"/>
      <c r="M112" s="282"/>
      <c r="N112" s="304"/>
      <c r="O112" s="297"/>
      <c r="P112" s="282"/>
      <c r="Q112" s="304"/>
      <c r="R112" s="297"/>
      <c r="S112" s="282"/>
      <c r="T112" s="265"/>
      <c r="U112" s="265"/>
      <c r="V112" s="265"/>
    </row>
    <row r="113">
      <c r="A113" s="37"/>
      <c r="B113" s="456" t="s">
        <v>258</v>
      </c>
      <c r="C113" s="306" t="s">
        <v>221</v>
      </c>
      <c r="D113" s="306" t="s">
        <v>222</v>
      </c>
      <c r="E113" s="301" t="s">
        <v>223</v>
      </c>
      <c r="F113" s="301" t="s">
        <v>224</v>
      </c>
      <c r="G113" s="301" t="s">
        <v>66</v>
      </c>
      <c r="H113" s="301" t="s">
        <v>223</v>
      </c>
      <c r="I113" s="301" t="s">
        <v>224</v>
      </c>
      <c r="J113" s="301" t="s">
        <v>66</v>
      </c>
      <c r="K113" s="301" t="s">
        <v>64</v>
      </c>
      <c r="L113" s="301" t="s">
        <v>223</v>
      </c>
      <c r="M113" s="444" t="s">
        <v>266</v>
      </c>
      <c r="N113" s="282"/>
      <c r="O113" s="301" t="s">
        <v>271</v>
      </c>
      <c r="P113" s="301"/>
      <c r="Q113" s="301"/>
      <c r="R113" s="301"/>
      <c r="S113" s="466"/>
      <c r="T113" s="307" t="s">
        <v>225</v>
      </c>
      <c r="U113" s="421" t="s">
        <v>263</v>
      </c>
      <c r="V113" s="265"/>
    </row>
    <row r="114">
      <c r="A114" s="37"/>
      <c r="B114" s="308"/>
      <c r="C114" s="561">
        <v>1.0</v>
      </c>
      <c r="D114" s="506" t="s">
        <v>104</v>
      </c>
      <c r="E114" s="510">
        <v>12.0</v>
      </c>
      <c r="F114" s="508">
        <v>10.0</v>
      </c>
      <c r="G114" s="509"/>
      <c r="H114" s="510">
        <v>12.0</v>
      </c>
      <c r="I114" s="508">
        <v>10.0</v>
      </c>
      <c r="J114" s="509"/>
      <c r="K114" s="508">
        <v>2.0</v>
      </c>
      <c r="L114" s="524">
        <v>45634.0</v>
      </c>
      <c r="M114" s="537" t="s">
        <v>124</v>
      </c>
      <c r="N114" s="25"/>
      <c r="O114" s="509"/>
      <c r="P114" s="316"/>
      <c r="Q114" s="222"/>
      <c r="R114" s="316"/>
      <c r="S114" s="316"/>
      <c r="T114" s="467">
        <f t="shared" ref="T114:T120" si="10">(E114*F114)+(H114*I114)</f>
        <v>240</v>
      </c>
      <c r="U114" s="422"/>
      <c r="V114" s="265"/>
    </row>
    <row r="115">
      <c r="A115" s="37"/>
      <c r="B115" s="308"/>
      <c r="C115" s="562">
        <v>2.0</v>
      </c>
      <c r="D115" s="515" t="s">
        <v>145</v>
      </c>
      <c r="E115" s="520">
        <v>10.0</v>
      </c>
      <c r="F115" s="563">
        <v>80.0</v>
      </c>
      <c r="G115" s="518"/>
      <c r="H115" s="520">
        <v>8.0</v>
      </c>
      <c r="I115" s="517">
        <v>70.0</v>
      </c>
      <c r="J115" s="518"/>
      <c r="K115" s="517">
        <v>2.0</v>
      </c>
      <c r="L115" s="539">
        <v>45938.0</v>
      </c>
      <c r="M115" s="527"/>
      <c r="N115" s="522"/>
      <c r="O115" s="518"/>
      <c r="P115" s="338"/>
      <c r="Q115" s="436"/>
      <c r="R115" s="338"/>
      <c r="S115" s="338"/>
      <c r="T115" s="467">
        <f t="shared" si="10"/>
        <v>1360</v>
      </c>
      <c r="U115" s="422"/>
      <c r="V115" s="265"/>
    </row>
    <row r="116">
      <c r="A116" s="37"/>
      <c r="B116" s="308"/>
      <c r="C116" s="561">
        <v>3.0</v>
      </c>
      <c r="D116" s="506" t="s">
        <v>146</v>
      </c>
      <c r="E116" s="510">
        <v>8.0</v>
      </c>
      <c r="F116" s="508">
        <v>28.0</v>
      </c>
      <c r="G116" s="509"/>
      <c r="H116" s="510">
        <v>7.0</v>
      </c>
      <c r="I116" s="572">
        <v>28.0</v>
      </c>
      <c r="J116" s="509"/>
      <c r="K116" s="508">
        <v>2.0</v>
      </c>
      <c r="L116" s="524">
        <v>45509.0</v>
      </c>
      <c r="M116" s="187"/>
      <c r="N116" s="531"/>
      <c r="O116" s="509"/>
      <c r="P116" s="346"/>
      <c r="Q116" s="209"/>
      <c r="R116" s="346"/>
      <c r="S116" s="346"/>
      <c r="T116" s="467">
        <f t="shared" si="10"/>
        <v>420</v>
      </c>
      <c r="U116" s="422"/>
      <c r="V116" s="265"/>
    </row>
    <row r="117">
      <c r="A117" s="37"/>
      <c r="B117" s="308"/>
      <c r="C117" s="562">
        <v>4.0</v>
      </c>
      <c r="D117" s="515" t="s">
        <v>76</v>
      </c>
      <c r="E117" s="564">
        <v>14.0</v>
      </c>
      <c r="F117" s="563">
        <v>7.5</v>
      </c>
      <c r="G117" s="518"/>
      <c r="H117" s="520">
        <v>16.0</v>
      </c>
      <c r="I117" s="517">
        <v>7.5</v>
      </c>
      <c r="J117" s="518"/>
      <c r="K117" s="517" t="s">
        <v>78</v>
      </c>
      <c r="L117" s="517" t="s">
        <v>108</v>
      </c>
      <c r="M117" s="541" t="s">
        <v>97</v>
      </c>
      <c r="N117" s="25"/>
      <c r="O117" s="542">
        <v>3101.0</v>
      </c>
      <c r="P117" s="338"/>
      <c r="Q117" s="459"/>
      <c r="R117" s="338"/>
      <c r="S117" s="338"/>
      <c r="T117" s="467">
        <f t="shared" si="10"/>
        <v>225</v>
      </c>
      <c r="U117" s="422"/>
      <c r="V117" s="265"/>
    </row>
    <row r="118">
      <c r="A118" s="37"/>
      <c r="B118" s="308"/>
      <c r="C118" s="561">
        <v>5.0</v>
      </c>
      <c r="D118" s="506" t="s">
        <v>147</v>
      </c>
      <c r="E118" s="510">
        <v>14.0</v>
      </c>
      <c r="F118" s="572">
        <v>6.0</v>
      </c>
      <c r="G118" s="509"/>
      <c r="H118" s="510">
        <v>16.0</v>
      </c>
      <c r="I118" s="508">
        <v>5.0</v>
      </c>
      <c r="J118" s="509"/>
      <c r="K118" s="508" t="s">
        <v>78</v>
      </c>
      <c r="L118" s="507" t="s">
        <v>134</v>
      </c>
      <c r="M118" s="537" t="s">
        <v>73</v>
      </c>
      <c r="N118" s="25"/>
      <c r="O118" s="543">
        <v>3101.0</v>
      </c>
      <c r="P118" s="346"/>
      <c r="Q118" s="239"/>
      <c r="R118" s="346"/>
      <c r="S118" s="346"/>
      <c r="T118" s="467">
        <f t="shared" si="10"/>
        <v>164</v>
      </c>
      <c r="U118" s="422"/>
      <c r="V118" s="265"/>
    </row>
    <row r="119">
      <c r="A119" s="37"/>
      <c r="B119" s="308"/>
      <c r="C119" s="562">
        <v>6.0</v>
      </c>
      <c r="D119" s="515" t="s">
        <v>149</v>
      </c>
      <c r="E119" s="520">
        <v>12.0</v>
      </c>
      <c r="F119" s="563">
        <v>22.5</v>
      </c>
      <c r="G119" s="518"/>
      <c r="H119" s="520">
        <v>12.0</v>
      </c>
      <c r="I119" s="563">
        <v>22.5</v>
      </c>
      <c r="J119" s="518"/>
      <c r="K119" s="517">
        <v>2.0</v>
      </c>
      <c r="L119" s="539">
        <v>45999.0</v>
      </c>
      <c r="M119" s="527"/>
      <c r="N119" s="522"/>
      <c r="O119" s="542">
        <v>3101.0</v>
      </c>
      <c r="P119" s="338"/>
      <c r="Q119" s="424"/>
      <c r="R119" s="338"/>
      <c r="S119" s="338"/>
      <c r="T119" s="467">
        <f t="shared" si="10"/>
        <v>540</v>
      </c>
      <c r="U119" s="422"/>
      <c r="V119" s="265"/>
    </row>
    <row r="120" ht="33.0" customHeight="1">
      <c r="A120" s="37"/>
      <c r="B120" s="361"/>
      <c r="C120" s="561">
        <v>7.0</v>
      </c>
      <c r="D120" s="506" t="s">
        <v>151</v>
      </c>
      <c r="E120" s="508">
        <v>12.0</v>
      </c>
      <c r="F120" s="508">
        <v>5.0</v>
      </c>
      <c r="G120" s="509"/>
      <c r="H120" s="508">
        <v>16.0</v>
      </c>
      <c r="I120" s="508">
        <v>4.5</v>
      </c>
      <c r="J120" s="509"/>
      <c r="K120" s="508" t="s">
        <v>78</v>
      </c>
      <c r="L120" s="508" t="s">
        <v>134</v>
      </c>
      <c r="M120" s="511" t="s">
        <v>73</v>
      </c>
      <c r="N120" s="25"/>
      <c r="O120" s="543">
        <v>3200.0</v>
      </c>
      <c r="P120" s="346"/>
      <c r="Q120" s="239"/>
      <c r="R120" s="346"/>
      <c r="S120" s="261"/>
      <c r="T120" s="467">
        <f t="shared" si="10"/>
        <v>132</v>
      </c>
      <c r="U120" s="422"/>
      <c r="V120" s="37"/>
    </row>
    <row r="121" ht="33.0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>
      <c r="A122" s="37"/>
      <c r="B122" s="265"/>
      <c r="C122" s="294" t="s">
        <v>209</v>
      </c>
      <c r="D122" s="295"/>
      <c r="E122" s="296" t="s">
        <v>241</v>
      </c>
      <c r="F122" s="297"/>
      <c r="G122" s="297"/>
      <c r="H122" s="297"/>
      <c r="I122" s="297"/>
      <c r="J122" s="297"/>
      <c r="K122" s="297"/>
      <c r="L122" s="297"/>
      <c r="M122" s="282"/>
      <c r="N122" s="298" t="s">
        <v>211</v>
      </c>
      <c r="O122" s="268"/>
      <c r="P122" s="57"/>
      <c r="Q122" s="286"/>
      <c r="R122" s="268"/>
      <c r="S122" s="57"/>
      <c r="T122" s="292"/>
      <c r="U122" s="265"/>
      <c r="V122" s="265"/>
    </row>
    <row r="123">
      <c r="A123" s="37"/>
      <c r="B123" s="265"/>
      <c r="C123" s="301" t="s">
        <v>214</v>
      </c>
      <c r="D123" s="372">
        <v>46047.0</v>
      </c>
      <c r="E123" s="303" t="s">
        <v>215</v>
      </c>
      <c r="F123" s="22"/>
      <c r="G123" s="28"/>
      <c r="H123" s="304" t="s">
        <v>216</v>
      </c>
      <c r="I123" s="297"/>
      <c r="J123" s="282"/>
      <c r="K123" s="304"/>
      <c r="L123" s="297"/>
      <c r="M123" s="282"/>
      <c r="N123" s="304"/>
      <c r="O123" s="297"/>
      <c r="P123" s="282"/>
      <c r="Q123" s="304"/>
      <c r="R123" s="297"/>
      <c r="S123" s="282"/>
      <c r="T123" s="265"/>
      <c r="U123" s="265"/>
      <c r="V123" s="265"/>
    </row>
    <row r="124">
      <c r="A124" s="37"/>
      <c r="B124" s="458" t="s">
        <v>259</v>
      </c>
      <c r="C124" s="306" t="s">
        <v>221</v>
      </c>
      <c r="D124" s="306" t="s">
        <v>222</v>
      </c>
      <c r="E124" s="301" t="s">
        <v>223</v>
      </c>
      <c r="F124" s="301" t="s">
        <v>224</v>
      </c>
      <c r="G124" s="301" t="s">
        <v>66</v>
      </c>
      <c r="H124" s="301" t="s">
        <v>223</v>
      </c>
      <c r="I124" s="301" t="s">
        <v>224</v>
      </c>
      <c r="J124" s="301" t="s">
        <v>66</v>
      </c>
      <c r="K124" s="301" t="s">
        <v>268</v>
      </c>
      <c r="L124" s="301" t="s">
        <v>269</v>
      </c>
      <c r="M124" s="468" t="s">
        <v>270</v>
      </c>
      <c r="N124" s="282"/>
      <c r="O124" s="301" t="s">
        <v>271</v>
      </c>
      <c r="P124" s="301"/>
      <c r="Q124" s="301"/>
      <c r="R124" s="301"/>
      <c r="S124" s="301"/>
      <c r="T124" s="307" t="s">
        <v>225</v>
      </c>
      <c r="U124" s="421" t="s">
        <v>263</v>
      </c>
      <c r="V124" s="265"/>
    </row>
    <row r="125">
      <c r="A125" s="37"/>
      <c r="B125" s="308"/>
      <c r="C125" s="309">
        <v>1.0</v>
      </c>
      <c r="D125" s="360" t="s">
        <v>154</v>
      </c>
      <c r="E125" s="413">
        <v>10.0</v>
      </c>
      <c r="F125" s="442">
        <v>20.0</v>
      </c>
      <c r="G125" s="414"/>
      <c r="H125" s="413">
        <v>10.0</v>
      </c>
      <c r="I125" s="442">
        <v>20.0</v>
      </c>
      <c r="J125" s="317"/>
      <c r="K125" s="312">
        <v>2.0</v>
      </c>
      <c r="L125" s="209">
        <v>45573.0</v>
      </c>
      <c r="M125" s="218"/>
      <c r="N125" s="218"/>
      <c r="O125" s="316"/>
      <c r="P125" s="316"/>
      <c r="Q125" s="222"/>
      <c r="R125" s="316"/>
      <c r="S125" s="316"/>
      <c r="T125" s="319">
        <f t="shared" ref="T125:T131" si="11">(E125*F125)+(H125*I125)</f>
        <v>400</v>
      </c>
      <c r="U125" s="422"/>
      <c r="V125" s="265"/>
    </row>
    <row r="126">
      <c r="A126" s="37"/>
      <c r="B126" s="308"/>
      <c r="C126" s="330">
        <v>2.0</v>
      </c>
      <c r="D126" s="358" t="s">
        <v>155</v>
      </c>
      <c r="E126" s="427">
        <v>12.0</v>
      </c>
      <c r="F126" s="427">
        <v>20.0</v>
      </c>
      <c r="G126" s="416"/>
      <c r="H126" s="427">
        <v>12.0</v>
      </c>
      <c r="I126" s="427">
        <v>20.0</v>
      </c>
      <c r="J126" s="339"/>
      <c r="K126" s="333" t="s">
        <v>78</v>
      </c>
      <c r="L126" s="459">
        <v>45636.0</v>
      </c>
      <c r="M126" s="455" t="s">
        <v>73</v>
      </c>
      <c r="O126" s="338"/>
      <c r="P126" s="338"/>
      <c r="Q126" s="436"/>
      <c r="R126" s="338"/>
      <c r="S126" s="338"/>
      <c r="T126" s="319">
        <f t="shared" si="11"/>
        <v>480</v>
      </c>
      <c r="U126" s="422"/>
      <c r="V126" s="265"/>
    </row>
    <row r="127">
      <c r="A127" s="37"/>
      <c r="B127" s="308"/>
      <c r="C127" s="309">
        <v>3.0</v>
      </c>
      <c r="D127" s="360" t="s">
        <v>156</v>
      </c>
      <c r="E127" s="428">
        <v>8.0</v>
      </c>
      <c r="F127" s="428">
        <v>60.0</v>
      </c>
      <c r="G127" s="418"/>
      <c r="H127" s="417">
        <v>8.0</v>
      </c>
      <c r="I127" s="428">
        <v>60.0</v>
      </c>
      <c r="J127" s="344"/>
      <c r="K127" s="342">
        <v>2.0</v>
      </c>
      <c r="L127" s="236">
        <v>45875.0</v>
      </c>
      <c r="M127" s="218"/>
      <c r="N127" s="218"/>
      <c r="O127" s="346"/>
      <c r="P127" s="346"/>
      <c r="Q127" s="209"/>
      <c r="R127" s="346"/>
      <c r="S127" s="346"/>
      <c r="T127" s="319">
        <f t="shared" si="11"/>
        <v>960</v>
      </c>
      <c r="U127" s="422"/>
      <c r="V127" s="265"/>
    </row>
    <row r="128">
      <c r="A128" s="37"/>
      <c r="B128" s="308"/>
      <c r="C128" s="330">
        <v>4.0</v>
      </c>
      <c r="D128" s="358" t="s">
        <v>159</v>
      </c>
      <c r="E128" s="415">
        <v>12.0</v>
      </c>
      <c r="F128" s="427">
        <v>55.0</v>
      </c>
      <c r="G128" s="416"/>
      <c r="H128" s="415">
        <v>12.0</v>
      </c>
      <c r="I128" s="427">
        <v>55.0</v>
      </c>
      <c r="J128" s="339"/>
      <c r="K128" s="333">
        <v>2.0</v>
      </c>
      <c r="L128" s="459">
        <v>45636.0</v>
      </c>
      <c r="M128" s="462"/>
      <c r="N128" s="462"/>
      <c r="O128" s="338"/>
      <c r="P128" s="338"/>
      <c r="Q128" s="459"/>
      <c r="R128" s="338"/>
      <c r="S128" s="338"/>
      <c r="T128" s="319">
        <f t="shared" si="11"/>
        <v>1320</v>
      </c>
      <c r="U128" s="422"/>
      <c r="V128" s="265"/>
    </row>
    <row r="129">
      <c r="A129" s="37"/>
      <c r="B129" s="308"/>
      <c r="C129" s="309">
        <v>5.0</v>
      </c>
      <c r="D129" s="341" t="s">
        <v>275</v>
      </c>
      <c r="E129" s="428">
        <v>10.0</v>
      </c>
      <c r="F129" s="428">
        <v>50.0</v>
      </c>
      <c r="G129" s="418"/>
      <c r="H129" s="428">
        <v>10.0</v>
      </c>
      <c r="I129" s="428">
        <v>50.0</v>
      </c>
      <c r="J129" s="344"/>
      <c r="K129" s="342">
        <v>2.0</v>
      </c>
      <c r="L129" s="463">
        <v>45938.0</v>
      </c>
      <c r="M129" s="241"/>
      <c r="N129" s="241"/>
      <c r="O129" s="346"/>
      <c r="P129" s="346"/>
      <c r="Q129" s="239"/>
      <c r="R129" s="346"/>
      <c r="S129" s="346"/>
      <c r="T129" s="319">
        <f t="shared" si="11"/>
        <v>1000</v>
      </c>
      <c r="U129" s="422"/>
      <c r="V129" s="265"/>
    </row>
    <row r="130">
      <c r="A130" s="37"/>
      <c r="B130" s="308"/>
      <c r="C130" s="330">
        <v>6.0</v>
      </c>
      <c r="D130" s="358" t="s">
        <v>107</v>
      </c>
      <c r="E130" s="427">
        <v>13.0</v>
      </c>
      <c r="F130" s="415">
        <v>10.0</v>
      </c>
      <c r="G130" s="419"/>
      <c r="H130" s="427">
        <v>18.0</v>
      </c>
      <c r="I130" s="489">
        <v>45784.0</v>
      </c>
      <c r="J130" s="339"/>
      <c r="K130" s="338" t="s">
        <v>78</v>
      </c>
      <c r="L130" s="436" t="s">
        <v>134</v>
      </c>
      <c r="M130" s="455" t="s">
        <v>73</v>
      </c>
      <c r="O130" s="338">
        <v>3100.0</v>
      </c>
      <c r="P130" s="338"/>
      <c r="Q130" s="424"/>
      <c r="R130" s="338"/>
      <c r="S130" s="338"/>
      <c r="T130" s="568">
        <f t="shared" si="11"/>
        <v>824242</v>
      </c>
      <c r="U130" s="422"/>
      <c r="V130" s="265"/>
    </row>
    <row r="131">
      <c r="A131" s="37"/>
      <c r="B131" s="308"/>
      <c r="C131" s="309">
        <v>7.0</v>
      </c>
      <c r="D131" s="360" t="s">
        <v>163</v>
      </c>
      <c r="E131" s="428">
        <v>14.0</v>
      </c>
      <c r="F131" s="428">
        <v>5.0</v>
      </c>
      <c r="G131" s="420"/>
      <c r="H131" s="428">
        <v>16.0</v>
      </c>
      <c r="I131" s="428">
        <v>5.0</v>
      </c>
      <c r="J131" s="344"/>
      <c r="K131" s="342" t="s">
        <v>78</v>
      </c>
      <c r="L131" s="244" t="s">
        <v>134</v>
      </c>
      <c r="M131" s="97" t="s">
        <v>73</v>
      </c>
      <c r="O131" s="346">
        <v>3101.0</v>
      </c>
      <c r="P131" s="342"/>
      <c r="Q131" s="342"/>
      <c r="R131" s="342"/>
      <c r="S131" s="342"/>
      <c r="T131" s="319">
        <f t="shared" si="11"/>
        <v>150</v>
      </c>
      <c r="U131" s="422"/>
      <c r="V131" s="265"/>
    </row>
    <row r="132">
      <c r="A132" s="37"/>
      <c r="B132" s="569">
        <v>1.0</v>
      </c>
      <c r="C132" s="265"/>
      <c r="D132" s="265"/>
      <c r="E132" s="265"/>
      <c r="F132" s="265"/>
      <c r="G132" s="265"/>
      <c r="H132" s="265"/>
      <c r="I132" s="265"/>
      <c r="J132" s="265"/>
      <c r="K132" s="292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</row>
    <row r="133">
      <c r="A133" s="37"/>
      <c r="B133" s="265"/>
      <c r="C133" s="294" t="s">
        <v>209</v>
      </c>
      <c r="D133" s="295"/>
      <c r="E133" s="296" t="s">
        <v>257</v>
      </c>
      <c r="F133" s="297"/>
      <c r="G133" s="297"/>
      <c r="H133" s="297"/>
      <c r="I133" s="297"/>
      <c r="J133" s="297"/>
      <c r="K133" s="297"/>
      <c r="L133" s="297"/>
      <c r="M133" s="282"/>
      <c r="N133" s="298" t="s">
        <v>211</v>
      </c>
      <c r="O133" s="268"/>
      <c r="P133" s="57"/>
      <c r="Q133" s="286"/>
      <c r="R133" s="268"/>
      <c r="S133" s="57"/>
      <c r="T133" s="292"/>
      <c r="U133" s="265"/>
      <c r="V133" s="265"/>
    </row>
    <row r="134">
      <c r="A134" s="37"/>
      <c r="B134" s="265"/>
      <c r="C134" s="301" t="s">
        <v>214</v>
      </c>
      <c r="D134" s="372">
        <v>46049.0</v>
      </c>
      <c r="E134" s="303" t="s">
        <v>215</v>
      </c>
      <c r="F134" s="22"/>
      <c r="G134" s="28"/>
      <c r="H134" s="304" t="s">
        <v>216</v>
      </c>
      <c r="I134" s="297"/>
      <c r="J134" s="282"/>
      <c r="K134" s="304"/>
      <c r="L134" s="297"/>
      <c r="M134" s="282"/>
      <c r="N134" s="304"/>
      <c r="O134" s="297"/>
      <c r="P134" s="282"/>
      <c r="Q134" s="304"/>
      <c r="R134" s="297"/>
      <c r="S134" s="282"/>
      <c r="T134" s="265"/>
      <c r="U134" s="265"/>
      <c r="V134" s="265"/>
    </row>
    <row r="135">
      <c r="A135" s="37"/>
      <c r="B135" s="456" t="s">
        <v>251</v>
      </c>
      <c r="C135" s="306" t="s">
        <v>221</v>
      </c>
      <c r="D135" s="306" t="s">
        <v>222</v>
      </c>
      <c r="E135" s="301" t="s">
        <v>223</v>
      </c>
      <c r="F135" s="301" t="s">
        <v>224</v>
      </c>
      <c r="G135" s="301" t="s">
        <v>66</v>
      </c>
      <c r="H135" s="301" t="s">
        <v>223</v>
      </c>
      <c r="I135" s="301" t="s">
        <v>224</v>
      </c>
      <c r="J135" s="301" t="s">
        <v>66</v>
      </c>
      <c r="K135" s="301" t="s">
        <v>268</v>
      </c>
      <c r="L135" s="301" t="s">
        <v>269</v>
      </c>
      <c r="M135" s="468" t="s">
        <v>270</v>
      </c>
      <c r="N135" s="297"/>
      <c r="O135" s="282"/>
      <c r="P135" s="301" t="s">
        <v>271</v>
      </c>
      <c r="Q135" s="468"/>
      <c r="R135" s="297"/>
      <c r="S135" s="282"/>
      <c r="T135" s="307" t="s">
        <v>225</v>
      </c>
      <c r="U135" s="421" t="s">
        <v>263</v>
      </c>
      <c r="V135" s="265"/>
    </row>
    <row r="136">
      <c r="A136" s="37"/>
      <c r="B136" s="308"/>
      <c r="C136" s="309">
        <v>1.0</v>
      </c>
      <c r="D136" s="373" t="s">
        <v>127</v>
      </c>
      <c r="E136" s="312">
        <v>12.0</v>
      </c>
      <c r="F136" s="312">
        <v>10.0</v>
      </c>
      <c r="G136" s="318"/>
      <c r="H136" s="313">
        <v>10.0</v>
      </c>
      <c r="I136" s="312">
        <v>10.0</v>
      </c>
      <c r="J136" s="317"/>
      <c r="K136" s="312">
        <v>2.0</v>
      </c>
      <c r="L136" s="312" t="s">
        <v>134</v>
      </c>
      <c r="M136" s="318"/>
      <c r="O136" s="25"/>
      <c r="P136" s="317"/>
      <c r="Q136" s="485"/>
      <c r="R136" s="491"/>
      <c r="S136" s="472">
        <v>3101.0</v>
      </c>
      <c r="T136" s="467">
        <f t="shared" ref="T136:T142" si="12">(E136*F136)+(H136*I136)</f>
        <v>220</v>
      </c>
      <c r="U136" s="422"/>
      <c r="V136" s="265"/>
    </row>
    <row r="137">
      <c r="A137" s="37"/>
      <c r="B137" s="308"/>
      <c r="C137" s="330">
        <v>2.0</v>
      </c>
      <c r="D137" s="377" t="s">
        <v>178</v>
      </c>
      <c r="E137" s="423">
        <v>6.0</v>
      </c>
      <c r="F137" s="333">
        <v>60.0</v>
      </c>
      <c r="G137" s="336"/>
      <c r="H137" s="334">
        <v>8.0</v>
      </c>
      <c r="I137" s="333">
        <v>50.0</v>
      </c>
      <c r="J137" s="339"/>
      <c r="K137" s="339">
        <v>2.0</v>
      </c>
      <c r="L137" s="440">
        <v>45938.0</v>
      </c>
      <c r="M137" s="336"/>
      <c r="O137" s="25"/>
      <c r="P137" s="339"/>
      <c r="Q137" s="336"/>
      <c r="R137" s="339"/>
      <c r="S137" s="339">
        <v>3101.0</v>
      </c>
      <c r="T137" s="467">
        <f t="shared" si="12"/>
        <v>760</v>
      </c>
      <c r="U137" s="422"/>
      <c r="V137" s="265"/>
    </row>
    <row r="138">
      <c r="A138" s="37"/>
      <c r="B138" s="308"/>
      <c r="C138" s="309">
        <v>3.0</v>
      </c>
      <c r="D138" s="382" t="s">
        <v>179</v>
      </c>
      <c r="E138" s="259">
        <v>6.0</v>
      </c>
      <c r="F138" s="383">
        <v>60.0</v>
      </c>
      <c r="G138" s="318"/>
      <c r="H138" s="343">
        <v>6.0</v>
      </c>
      <c r="I138" s="342">
        <v>50.0</v>
      </c>
      <c r="J138" s="344"/>
      <c r="K138" s="481">
        <v>2.0</v>
      </c>
      <c r="L138" s="432">
        <v>45510.0</v>
      </c>
      <c r="M138" s="318"/>
      <c r="O138" s="25"/>
      <c r="P138" s="344"/>
      <c r="Q138" s="485"/>
      <c r="R138" s="491"/>
      <c r="S138" s="473">
        <v>3001.0</v>
      </c>
      <c r="T138" s="467">
        <f t="shared" si="12"/>
        <v>660</v>
      </c>
      <c r="U138" s="422"/>
      <c r="V138" s="265"/>
    </row>
    <row r="139">
      <c r="A139" s="37"/>
      <c r="B139" s="308"/>
      <c r="C139" s="330">
        <v>4.0</v>
      </c>
      <c r="D139" s="377" t="s">
        <v>180</v>
      </c>
      <c r="E139" s="423">
        <v>10.0</v>
      </c>
      <c r="F139" s="379">
        <v>30.0</v>
      </c>
      <c r="G139" s="336"/>
      <c r="H139" s="334">
        <v>10.0</v>
      </c>
      <c r="I139" s="333">
        <v>30.0</v>
      </c>
      <c r="J139" s="339"/>
      <c r="K139" s="339">
        <v>2.0</v>
      </c>
      <c r="L139" s="440">
        <v>45938.0</v>
      </c>
      <c r="M139" s="336"/>
      <c r="O139" s="25"/>
      <c r="P139" s="339"/>
      <c r="Q139" s="332"/>
      <c r="R139" s="335"/>
      <c r="S139" s="339">
        <v>3001.0</v>
      </c>
      <c r="T139" s="467">
        <f t="shared" si="12"/>
        <v>600</v>
      </c>
      <c r="U139" s="422"/>
      <c r="V139" s="265"/>
    </row>
    <row r="140">
      <c r="A140" s="37"/>
      <c r="B140" s="308"/>
      <c r="C140" s="309">
        <v>5.0</v>
      </c>
      <c r="D140" s="382" t="s">
        <v>141</v>
      </c>
      <c r="E140" s="259">
        <v>14.0</v>
      </c>
      <c r="F140" s="383">
        <v>15.0</v>
      </c>
      <c r="G140" s="318"/>
      <c r="H140" s="343">
        <v>12.0</v>
      </c>
      <c r="I140" s="342">
        <v>15.0</v>
      </c>
      <c r="J140" s="344"/>
      <c r="K140" s="481" t="s">
        <v>78</v>
      </c>
      <c r="L140" s="566" t="s">
        <v>108</v>
      </c>
      <c r="M140" s="100" t="s">
        <v>73</v>
      </c>
      <c r="O140" s="25"/>
      <c r="P140" s="344">
        <v>3101.0</v>
      </c>
      <c r="Q140" s="228"/>
      <c r="R140" s="418"/>
      <c r="S140" s="473"/>
      <c r="T140" s="467">
        <f t="shared" si="12"/>
        <v>390</v>
      </c>
      <c r="U140" s="422"/>
      <c r="V140" s="265"/>
    </row>
    <row r="141">
      <c r="A141" s="37"/>
      <c r="B141" s="308"/>
      <c r="C141" s="330">
        <v>6.0</v>
      </c>
      <c r="D141" s="331" t="s">
        <v>139</v>
      </c>
      <c r="E141" s="423">
        <v>12.0</v>
      </c>
      <c r="F141" s="379">
        <v>30.0</v>
      </c>
      <c r="G141" s="336"/>
      <c r="H141" s="334">
        <v>14.0</v>
      </c>
      <c r="I141" s="333">
        <v>30.0</v>
      </c>
      <c r="J141" s="339"/>
      <c r="K141" s="339" t="s">
        <v>78</v>
      </c>
      <c r="L141" s="440">
        <v>45999.0</v>
      </c>
      <c r="M141" s="336" t="s">
        <v>97</v>
      </c>
      <c r="O141" s="25"/>
      <c r="P141" s="339"/>
      <c r="Q141" s="336"/>
      <c r="R141" s="339"/>
      <c r="S141" s="338">
        <v>3202.0</v>
      </c>
      <c r="T141" s="467">
        <f t="shared" si="12"/>
        <v>780</v>
      </c>
      <c r="U141" s="422"/>
      <c r="V141" s="265"/>
    </row>
    <row r="142">
      <c r="A142" s="37"/>
      <c r="B142" s="361"/>
      <c r="C142" s="309">
        <v>7.0</v>
      </c>
      <c r="D142" s="382" t="s">
        <v>88</v>
      </c>
      <c r="E142" s="259">
        <v>12.0</v>
      </c>
      <c r="F142" s="383">
        <v>10.0</v>
      </c>
      <c r="G142" s="318"/>
      <c r="H142" s="343">
        <v>11.0</v>
      </c>
      <c r="I142" s="342">
        <v>8.0</v>
      </c>
      <c r="J142" s="344"/>
      <c r="K142" s="481" t="s">
        <v>78</v>
      </c>
      <c r="L142" s="566" t="s">
        <v>108</v>
      </c>
      <c r="M142" s="100" t="s">
        <v>73</v>
      </c>
      <c r="O142" s="25"/>
      <c r="P142" s="472">
        <v>3101.0</v>
      </c>
      <c r="Q142" s="485"/>
      <c r="S142" s="25"/>
      <c r="T142" s="467">
        <f t="shared" si="12"/>
        <v>208</v>
      </c>
      <c r="U142" s="422"/>
      <c r="V142" s="265"/>
    </row>
    <row r="143">
      <c r="A143" s="264"/>
      <c r="B143" s="368"/>
      <c r="C143" s="265"/>
      <c r="D143" s="265"/>
      <c r="E143" s="265"/>
      <c r="F143" s="265"/>
      <c r="G143" s="265"/>
      <c r="H143" s="265"/>
      <c r="I143" s="265"/>
      <c r="J143" s="292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</row>
    <row r="144">
      <c r="A144" s="37"/>
      <c r="B144" s="265"/>
      <c r="C144" s="294" t="s">
        <v>209</v>
      </c>
      <c r="D144" s="295"/>
      <c r="E144" s="296" t="s">
        <v>210</v>
      </c>
      <c r="F144" s="297"/>
      <c r="G144" s="297"/>
      <c r="H144" s="297"/>
      <c r="I144" s="297"/>
      <c r="J144" s="297"/>
      <c r="K144" s="297"/>
      <c r="L144" s="297"/>
      <c r="M144" s="282"/>
      <c r="N144" s="298" t="s">
        <v>211</v>
      </c>
      <c r="O144" s="268"/>
      <c r="P144" s="57"/>
      <c r="Q144" s="286"/>
      <c r="R144" s="268"/>
      <c r="S144" s="57"/>
      <c r="T144" s="292"/>
      <c r="U144" s="265"/>
      <c r="V144" s="265"/>
    </row>
    <row r="145">
      <c r="A145" s="37"/>
      <c r="B145" s="265"/>
      <c r="C145" s="301" t="s">
        <v>214</v>
      </c>
      <c r="D145" s="372">
        <v>46050.0</v>
      </c>
      <c r="E145" s="303" t="s">
        <v>215</v>
      </c>
      <c r="F145" s="22"/>
      <c r="G145" s="28"/>
      <c r="H145" s="304" t="s">
        <v>216</v>
      </c>
      <c r="I145" s="297"/>
      <c r="J145" s="282"/>
      <c r="K145" s="304"/>
      <c r="L145" s="297"/>
      <c r="M145" s="282"/>
      <c r="N145" s="304"/>
      <c r="O145" s="297"/>
      <c r="P145" s="282"/>
      <c r="Q145" s="304"/>
      <c r="R145" s="297"/>
      <c r="S145" s="282"/>
      <c r="T145" s="265"/>
      <c r="U145" s="265"/>
      <c r="V145" s="265"/>
    </row>
    <row r="146">
      <c r="A146" s="37"/>
      <c r="B146" s="470" t="s">
        <v>245</v>
      </c>
      <c r="C146" s="306" t="s">
        <v>221</v>
      </c>
      <c r="D146" s="306" t="s">
        <v>222</v>
      </c>
      <c r="E146" s="301" t="s">
        <v>223</v>
      </c>
      <c r="F146" s="301" t="s">
        <v>224</v>
      </c>
      <c r="G146" s="301" t="s">
        <v>66</v>
      </c>
      <c r="H146" s="301" t="s">
        <v>223</v>
      </c>
      <c r="I146" s="301" t="s">
        <v>224</v>
      </c>
      <c r="J146" s="301" t="s">
        <v>66</v>
      </c>
      <c r="K146" s="301" t="s">
        <v>64</v>
      </c>
      <c r="L146" s="301" t="s">
        <v>223</v>
      </c>
      <c r="M146" s="444" t="s">
        <v>266</v>
      </c>
      <c r="N146" s="282"/>
      <c r="O146" s="301" t="s">
        <v>271</v>
      </c>
      <c r="P146" s="301"/>
      <c r="Q146" s="301"/>
      <c r="R146" s="301"/>
      <c r="S146" s="466"/>
      <c r="T146" s="307" t="s">
        <v>225</v>
      </c>
      <c r="U146" s="421" t="s">
        <v>263</v>
      </c>
      <c r="V146" s="265"/>
    </row>
    <row r="147">
      <c r="A147" s="37"/>
      <c r="B147" s="308"/>
      <c r="C147" s="561">
        <v>1.0</v>
      </c>
      <c r="D147" s="506" t="s">
        <v>167</v>
      </c>
      <c r="E147" s="507">
        <v>16.0</v>
      </c>
      <c r="F147" s="508">
        <v>55.0</v>
      </c>
      <c r="G147" s="509"/>
      <c r="H147" s="507">
        <v>20.0</v>
      </c>
      <c r="I147" s="510">
        <v>50.0</v>
      </c>
      <c r="J147" s="509"/>
      <c r="K147" s="508">
        <v>2.0</v>
      </c>
      <c r="L147" s="507" t="s">
        <v>134</v>
      </c>
      <c r="M147" s="511" t="s">
        <v>124</v>
      </c>
      <c r="N147" s="25"/>
      <c r="O147" s="316"/>
      <c r="P147" s="316"/>
      <c r="Q147" s="222"/>
      <c r="R147" s="316"/>
      <c r="S147" s="316"/>
      <c r="T147" s="467">
        <f t="shared" ref="T147:T152" si="13">(E147*F147)+(H147*I147)</f>
        <v>1880</v>
      </c>
      <c r="U147" s="422"/>
      <c r="V147" s="265"/>
    </row>
    <row r="148">
      <c r="A148" s="37"/>
      <c r="B148" s="308"/>
      <c r="C148" s="562">
        <v>2.0</v>
      </c>
      <c r="D148" s="515" t="s">
        <v>169</v>
      </c>
      <c r="E148" s="516">
        <v>14.0</v>
      </c>
      <c r="F148" s="517">
        <v>15.0</v>
      </c>
      <c r="G148" s="518"/>
      <c r="H148" s="519">
        <v>18.0</v>
      </c>
      <c r="I148" s="520">
        <v>15.0</v>
      </c>
      <c r="J148" s="518"/>
      <c r="K148" s="517" t="s">
        <v>78</v>
      </c>
      <c r="L148" s="519" t="s">
        <v>134</v>
      </c>
      <c r="M148" s="521" t="s">
        <v>73</v>
      </c>
      <c r="N148" s="25"/>
      <c r="O148" s="338"/>
      <c r="P148" s="338"/>
      <c r="Q148" s="436"/>
      <c r="R148" s="338"/>
      <c r="S148" s="338"/>
      <c r="T148" s="467">
        <f t="shared" si="13"/>
        <v>480</v>
      </c>
      <c r="U148" s="422"/>
      <c r="V148" s="265"/>
    </row>
    <row r="149">
      <c r="A149" s="37"/>
      <c r="B149" s="308"/>
      <c r="C149" s="561">
        <v>3.0</v>
      </c>
      <c r="D149" s="506" t="s">
        <v>170</v>
      </c>
      <c r="E149" s="507">
        <v>8.0</v>
      </c>
      <c r="F149" s="508">
        <v>90.0</v>
      </c>
      <c r="G149" s="509"/>
      <c r="H149" s="507">
        <v>8.0</v>
      </c>
      <c r="I149" s="523">
        <v>90.0</v>
      </c>
      <c r="J149" s="509"/>
      <c r="K149" s="508">
        <v>2.0</v>
      </c>
      <c r="L149" s="524">
        <v>45510.0</v>
      </c>
      <c r="M149" s="509"/>
      <c r="N149" s="187"/>
      <c r="O149" s="346"/>
      <c r="P149" s="346"/>
      <c r="Q149" s="209"/>
      <c r="R149" s="346"/>
      <c r="S149" s="346"/>
      <c r="T149" s="467">
        <f t="shared" si="13"/>
        <v>1440</v>
      </c>
      <c r="U149" s="422"/>
      <c r="V149" s="265"/>
    </row>
    <row r="150">
      <c r="A150" s="37"/>
      <c r="B150" s="308"/>
      <c r="C150" s="562">
        <v>4.0</v>
      </c>
      <c r="D150" s="515" t="s">
        <v>171</v>
      </c>
      <c r="E150" s="519">
        <v>10.0</v>
      </c>
      <c r="F150" s="563">
        <v>180.0</v>
      </c>
      <c r="G150" s="518"/>
      <c r="H150" s="519">
        <v>10.0</v>
      </c>
      <c r="I150" s="564">
        <v>180.0</v>
      </c>
      <c r="J150" s="518"/>
      <c r="K150" s="517">
        <v>2.0</v>
      </c>
      <c r="L150" s="526">
        <v>45573.0</v>
      </c>
      <c r="M150" s="518"/>
      <c r="N150" s="527"/>
      <c r="O150" s="338"/>
      <c r="P150" s="338"/>
      <c r="Q150" s="459"/>
      <c r="R150" s="338"/>
      <c r="S150" s="338"/>
      <c r="T150" s="467">
        <f t="shared" si="13"/>
        <v>3600</v>
      </c>
      <c r="U150" s="422"/>
      <c r="V150" s="265"/>
    </row>
    <row r="151">
      <c r="A151" s="37"/>
      <c r="B151" s="308"/>
      <c r="C151" s="561">
        <v>5.0</v>
      </c>
      <c r="D151" s="506" t="s">
        <v>172</v>
      </c>
      <c r="E151" s="529">
        <v>12.0</v>
      </c>
      <c r="F151" s="508">
        <v>70.0</v>
      </c>
      <c r="G151" s="509"/>
      <c r="H151" s="529">
        <v>14.0</v>
      </c>
      <c r="I151" s="510">
        <v>70.0</v>
      </c>
      <c r="J151" s="509"/>
      <c r="K151" s="508" t="s">
        <v>78</v>
      </c>
      <c r="L151" s="530">
        <v>45636.0</v>
      </c>
      <c r="M151" s="511" t="s">
        <v>73</v>
      </c>
      <c r="N151" s="25"/>
      <c r="O151" s="346"/>
      <c r="P151" s="346"/>
      <c r="Q151" s="239"/>
      <c r="R151" s="346"/>
      <c r="S151" s="346"/>
      <c r="T151" s="467">
        <f t="shared" si="13"/>
        <v>1820</v>
      </c>
      <c r="U151" s="422"/>
      <c r="V151" s="265"/>
    </row>
    <row r="152">
      <c r="A152" s="37"/>
      <c r="B152" s="361"/>
      <c r="C152" s="562">
        <v>6.0</v>
      </c>
      <c r="D152" s="515" t="s">
        <v>174</v>
      </c>
      <c r="E152" s="519">
        <v>12.0</v>
      </c>
      <c r="F152" s="517">
        <v>22.5</v>
      </c>
      <c r="G152" s="518"/>
      <c r="H152" s="519">
        <v>10.0</v>
      </c>
      <c r="I152" s="520">
        <v>22.5</v>
      </c>
      <c r="J152" s="518"/>
      <c r="K152" s="517">
        <v>2.0</v>
      </c>
      <c r="L152" s="526">
        <v>45999.0</v>
      </c>
      <c r="M152" s="518"/>
      <c r="N152" s="527"/>
      <c r="O152" s="338"/>
      <c r="P152" s="338"/>
      <c r="Q152" s="424"/>
      <c r="R152" s="338"/>
      <c r="S152" s="338"/>
      <c r="T152" s="467">
        <f t="shared" si="13"/>
        <v>495</v>
      </c>
      <c r="U152" s="422"/>
      <c r="V152" s="265"/>
    </row>
    <row r="153">
      <c r="A153" s="37"/>
      <c r="B153" s="37"/>
      <c r="C153" s="567">
        <v>7.0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</sheetData>
  <mergeCells count="256">
    <mergeCell ref="N68:P68"/>
    <mergeCell ref="Q68:S68"/>
    <mergeCell ref="Q69:S69"/>
    <mergeCell ref="M70:N70"/>
    <mergeCell ref="M72:N72"/>
    <mergeCell ref="M76:N76"/>
    <mergeCell ref="M77:N77"/>
    <mergeCell ref="M82:O82"/>
    <mergeCell ref="M83:O83"/>
    <mergeCell ref="M84:O84"/>
    <mergeCell ref="M85:O85"/>
    <mergeCell ref="M86:O86"/>
    <mergeCell ref="M87:O87"/>
    <mergeCell ref="Q88:S88"/>
    <mergeCell ref="N48:P48"/>
    <mergeCell ref="Q48:S48"/>
    <mergeCell ref="K48:M48"/>
    <mergeCell ref="M49:N49"/>
    <mergeCell ref="M50:N50"/>
    <mergeCell ref="M51:N51"/>
    <mergeCell ref="C47:D47"/>
    <mergeCell ref="E47:M47"/>
    <mergeCell ref="N47:P47"/>
    <mergeCell ref="Q47:S47"/>
    <mergeCell ref="E48:G48"/>
    <mergeCell ref="H48:J48"/>
    <mergeCell ref="M54:N54"/>
    <mergeCell ref="E57:M57"/>
    <mergeCell ref="N57:P57"/>
    <mergeCell ref="Q57:S57"/>
    <mergeCell ref="E58:G58"/>
    <mergeCell ref="H58:J58"/>
    <mergeCell ref="K58:M58"/>
    <mergeCell ref="Q58:S58"/>
    <mergeCell ref="N91:P91"/>
    <mergeCell ref="Q91:S91"/>
    <mergeCell ref="M88:O88"/>
    <mergeCell ref="E90:M90"/>
    <mergeCell ref="N90:P90"/>
    <mergeCell ref="Q90:S90"/>
    <mergeCell ref="E91:G91"/>
    <mergeCell ref="H91:J91"/>
    <mergeCell ref="K91:M91"/>
    <mergeCell ref="E134:G134"/>
    <mergeCell ref="H134:J134"/>
    <mergeCell ref="K134:M134"/>
    <mergeCell ref="H123:J123"/>
    <mergeCell ref="K123:M123"/>
    <mergeCell ref="M124:N124"/>
    <mergeCell ref="M126:N126"/>
    <mergeCell ref="M130:N130"/>
    <mergeCell ref="M131:N131"/>
    <mergeCell ref="E133:M133"/>
    <mergeCell ref="E79:M79"/>
    <mergeCell ref="N79:P79"/>
    <mergeCell ref="Q79:S79"/>
    <mergeCell ref="E80:G80"/>
    <mergeCell ref="H80:J80"/>
    <mergeCell ref="K80:M80"/>
    <mergeCell ref="Q80:S80"/>
    <mergeCell ref="N101:P101"/>
    <mergeCell ref="Q101:S101"/>
    <mergeCell ref="N80:P80"/>
    <mergeCell ref="M81:O81"/>
    <mergeCell ref="Q81:S81"/>
    <mergeCell ref="M92:N92"/>
    <mergeCell ref="M94:N94"/>
    <mergeCell ref="M99:N99"/>
    <mergeCell ref="E101:M101"/>
    <mergeCell ref="E102:G102"/>
    <mergeCell ref="H102:J102"/>
    <mergeCell ref="K102:M102"/>
    <mergeCell ref="N102:P102"/>
    <mergeCell ref="Q102:S102"/>
    <mergeCell ref="M103:O103"/>
    <mergeCell ref="M104:O104"/>
    <mergeCell ref="M105:O105"/>
    <mergeCell ref="M106:O106"/>
    <mergeCell ref="M108:O108"/>
    <mergeCell ref="M109:O109"/>
    <mergeCell ref="E111:M111"/>
    <mergeCell ref="N111:P111"/>
    <mergeCell ref="Q111:S111"/>
    <mergeCell ref="E112:G112"/>
    <mergeCell ref="H112:J112"/>
    <mergeCell ref="K112:M112"/>
    <mergeCell ref="N112:P112"/>
    <mergeCell ref="Q112:S112"/>
    <mergeCell ref="M113:N113"/>
    <mergeCell ref="M114:N114"/>
    <mergeCell ref="N133:P133"/>
    <mergeCell ref="Q133:S133"/>
    <mergeCell ref="N134:P134"/>
    <mergeCell ref="Q134:S134"/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K11:L11"/>
    <mergeCell ref="E14:M14"/>
    <mergeCell ref="N14:P14"/>
    <mergeCell ref="Q14:S14"/>
    <mergeCell ref="C14:D14"/>
    <mergeCell ref="E15:G15"/>
    <mergeCell ref="H15:J15"/>
    <mergeCell ref="K15:M15"/>
    <mergeCell ref="N15:P15"/>
    <mergeCell ref="Q15:S15"/>
    <mergeCell ref="Q16:S16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K7:L7"/>
    <mergeCell ref="M7:N7"/>
    <mergeCell ref="O7:P7"/>
    <mergeCell ref="Q7:R7"/>
    <mergeCell ref="A1:B7"/>
    <mergeCell ref="C3:D4"/>
    <mergeCell ref="E3:F4"/>
    <mergeCell ref="I3:L4"/>
    <mergeCell ref="M3:N4"/>
    <mergeCell ref="G6:H6"/>
    <mergeCell ref="M6:N6"/>
    <mergeCell ref="G9:H9"/>
    <mergeCell ref="I9:J9"/>
    <mergeCell ref="K9:L9"/>
    <mergeCell ref="M9:N9"/>
    <mergeCell ref="O9:P9"/>
    <mergeCell ref="Q9:R9"/>
    <mergeCell ref="E6:F6"/>
    <mergeCell ref="C7:D7"/>
    <mergeCell ref="E7:F7"/>
    <mergeCell ref="C8:D8"/>
    <mergeCell ref="E8:F8"/>
    <mergeCell ref="C9:D9"/>
    <mergeCell ref="E9:F9"/>
    <mergeCell ref="N25:P25"/>
    <mergeCell ref="Q25:S25"/>
    <mergeCell ref="M16:O16"/>
    <mergeCell ref="M17:O17"/>
    <mergeCell ref="M18:O18"/>
    <mergeCell ref="M19:O19"/>
    <mergeCell ref="M21:O21"/>
    <mergeCell ref="M22:O22"/>
    <mergeCell ref="Q23:S23"/>
    <mergeCell ref="M32:O32"/>
    <mergeCell ref="M33:O33"/>
    <mergeCell ref="M34:O34"/>
    <mergeCell ref="N26:P26"/>
    <mergeCell ref="Q26:S26"/>
    <mergeCell ref="M27:O27"/>
    <mergeCell ref="M28:O28"/>
    <mergeCell ref="M29:O29"/>
    <mergeCell ref="M30:O30"/>
    <mergeCell ref="M31:O31"/>
    <mergeCell ref="N37:P37"/>
    <mergeCell ref="Q37:S37"/>
    <mergeCell ref="M38:N38"/>
    <mergeCell ref="M40:N40"/>
    <mergeCell ref="C36:D36"/>
    <mergeCell ref="E36:M36"/>
    <mergeCell ref="N36:P36"/>
    <mergeCell ref="Q36:S36"/>
    <mergeCell ref="E37:G37"/>
    <mergeCell ref="H37:J37"/>
    <mergeCell ref="K37:M37"/>
    <mergeCell ref="K26:M26"/>
    <mergeCell ref="M45:N45"/>
    <mergeCell ref="B16:B23"/>
    <mergeCell ref="C25:D25"/>
    <mergeCell ref="E25:M25"/>
    <mergeCell ref="E26:G26"/>
    <mergeCell ref="H26:J26"/>
    <mergeCell ref="B27:B34"/>
    <mergeCell ref="B38:B45"/>
    <mergeCell ref="E69:G69"/>
    <mergeCell ref="H69:J69"/>
    <mergeCell ref="K69:M69"/>
    <mergeCell ref="N69:P69"/>
    <mergeCell ref="N58:P58"/>
    <mergeCell ref="M59:N59"/>
    <mergeCell ref="M60:N60"/>
    <mergeCell ref="M63:N63"/>
    <mergeCell ref="M64:N64"/>
    <mergeCell ref="M66:N66"/>
    <mergeCell ref="E68:M68"/>
    <mergeCell ref="B81:B88"/>
    <mergeCell ref="B92:B98"/>
    <mergeCell ref="B103:B109"/>
    <mergeCell ref="B113:B120"/>
    <mergeCell ref="B124:B131"/>
    <mergeCell ref="B135:B142"/>
    <mergeCell ref="B146:B152"/>
    <mergeCell ref="C101:D101"/>
    <mergeCell ref="C111:D111"/>
    <mergeCell ref="C122:D122"/>
    <mergeCell ref="C133:D133"/>
    <mergeCell ref="C144:D144"/>
    <mergeCell ref="B49:B55"/>
    <mergeCell ref="C57:D57"/>
    <mergeCell ref="B59:B66"/>
    <mergeCell ref="C68:D68"/>
    <mergeCell ref="B70:B77"/>
    <mergeCell ref="C79:D79"/>
    <mergeCell ref="C90:D90"/>
    <mergeCell ref="M117:N117"/>
    <mergeCell ref="M118:N118"/>
    <mergeCell ref="M120:N120"/>
    <mergeCell ref="E122:M122"/>
    <mergeCell ref="N122:P122"/>
    <mergeCell ref="Q122:S122"/>
    <mergeCell ref="E123:G123"/>
    <mergeCell ref="N123:P123"/>
    <mergeCell ref="Q123:S123"/>
    <mergeCell ref="M135:O135"/>
    <mergeCell ref="Q135:S135"/>
    <mergeCell ref="M136:O136"/>
    <mergeCell ref="M137:O137"/>
    <mergeCell ref="M138:O138"/>
    <mergeCell ref="E144:M144"/>
    <mergeCell ref="E145:G145"/>
    <mergeCell ref="H145:J145"/>
    <mergeCell ref="K145:M145"/>
    <mergeCell ref="N145:P145"/>
    <mergeCell ref="Q145:S145"/>
    <mergeCell ref="M146:N146"/>
    <mergeCell ref="M147:N147"/>
    <mergeCell ref="M148:N148"/>
    <mergeCell ref="M151:N151"/>
    <mergeCell ref="M139:O139"/>
    <mergeCell ref="M140:O140"/>
    <mergeCell ref="M141:O141"/>
    <mergeCell ref="M142:O142"/>
    <mergeCell ref="Q142:S142"/>
    <mergeCell ref="N144:P144"/>
    <mergeCell ref="Q144:S144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6 Q47 Q57 Q68 Q79 Q90 Q99:S100 Q101 Q111 Q122 Q133 Q144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37"/>
      <c r="B14" s="265"/>
      <c r="C14" s="294" t="s">
        <v>209</v>
      </c>
      <c r="D14" s="295"/>
      <c r="E14" s="296" t="s">
        <v>233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37"/>
      <c r="B15" s="265"/>
      <c r="C15" s="301" t="s">
        <v>214</v>
      </c>
      <c r="D15" s="372">
        <v>46055.0</v>
      </c>
      <c r="E15" s="303" t="s">
        <v>215</v>
      </c>
      <c r="F15" s="22"/>
      <c r="G15" s="28"/>
      <c r="H15" s="304" t="s">
        <v>216</v>
      </c>
      <c r="I15" s="297"/>
      <c r="J15" s="282"/>
      <c r="K15" s="304"/>
      <c r="L15" s="297"/>
      <c r="M15" s="282"/>
      <c r="N15" s="304"/>
      <c r="O15" s="297"/>
      <c r="P15" s="282"/>
      <c r="Q15" s="304"/>
      <c r="R15" s="297"/>
      <c r="S15" s="282"/>
      <c r="T15" s="265"/>
      <c r="U15" s="265"/>
      <c r="V15" s="265"/>
    </row>
    <row r="16">
      <c r="A16" s="37"/>
      <c r="B16" s="456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268</v>
      </c>
      <c r="L16" s="301" t="s">
        <v>269</v>
      </c>
      <c r="M16" s="468" t="s">
        <v>270</v>
      </c>
      <c r="N16" s="297"/>
      <c r="O16" s="282"/>
      <c r="P16" s="301" t="s">
        <v>271</v>
      </c>
      <c r="Q16" s="468"/>
      <c r="R16" s="297"/>
      <c r="S16" s="282"/>
      <c r="T16" s="307" t="s">
        <v>225</v>
      </c>
      <c r="U16" s="421" t="s">
        <v>263</v>
      </c>
      <c r="V16" s="265"/>
    </row>
    <row r="17">
      <c r="A17" s="37"/>
      <c r="B17" s="308"/>
      <c r="C17" s="309">
        <v>1.0</v>
      </c>
      <c r="D17" s="360" t="s">
        <v>104</v>
      </c>
      <c r="E17" s="510">
        <v>12.0</v>
      </c>
      <c r="F17" s="508">
        <v>10.0</v>
      </c>
      <c r="G17" s="509"/>
      <c r="H17" s="510">
        <v>12.0</v>
      </c>
      <c r="I17" s="508">
        <v>10.0</v>
      </c>
      <c r="J17" s="509"/>
      <c r="K17" s="508">
        <v>2.0</v>
      </c>
      <c r="L17" s="524">
        <v>45634.0</v>
      </c>
      <c r="M17" s="537" t="s">
        <v>124</v>
      </c>
      <c r="O17" s="25"/>
      <c r="P17" s="472"/>
      <c r="Q17" s="472"/>
      <c r="R17" s="472"/>
      <c r="S17" s="472"/>
      <c r="T17" s="467">
        <f t="shared" ref="T17:T23" si="1">(E17*F17)+(H17*I17)</f>
        <v>240</v>
      </c>
      <c r="U17" s="422"/>
      <c r="V17" s="265"/>
    </row>
    <row r="18">
      <c r="A18" s="37"/>
      <c r="B18" s="308"/>
      <c r="C18" s="330">
        <v>2.0</v>
      </c>
      <c r="D18" s="358" t="s">
        <v>145</v>
      </c>
      <c r="E18" s="520">
        <v>10.0</v>
      </c>
      <c r="F18" s="563">
        <v>70.0</v>
      </c>
      <c r="G18" s="518"/>
      <c r="H18" s="520">
        <v>8.0</v>
      </c>
      <c r="I18" s="517">
        <v>70.0</v>
      </c>
      <c r="J18" s="518"/>
      <c r="K18" s="517">
        <v>2.0</v>
      </c>
      <c r="L18" s="539">
        <v>45938.0</v>
      </c>
      <c r="M18" s="527"/>
      <c r="O18" s="25"/>
      <c r="P18" s="339"/>
      <c r="Q18" s="339"/>
      <c r="R18" s="339"/>
      <c r="S18" s="339"/>
      <c r="T18" s="467">
        <f t="shared" si="1"/>
        <v>1260</v>
      </c>
      <c r="U18" s="422"/>
      <c r="V18" s="265"/>
    </row>
    <row r="19">
      <c r="A19" s="37"/>
      <c r="B19" s="308"/>
      <c r="C19" s="309">
        <v>3.0</v>
      </c>
      <c r="D19" s="360" t="s">
        <v>146</v>
      </c>
      <c r="E19" s="523">
        <v>9.0</v>
      </c>
      <c r="F19" s="572">
        <v>26.0</v>
      </c>
      <c r="G19" s="509"/>
      <c r="H19" s="510">
        <v>7.0</v>
      </c>
      <c r="I19" s="572">
        <v>26.0</v>
      </c>
      <c r="J19" s="509"/>
      <c r="K19" s="508">
        <v>2.0</v>
      </c>
      <c r="L19" s="524">
        <v>45509.0</v>
      </c>
      <c r="M19" s="187"/>
      <c r="O19" s="25"/>
      <c r="P19" s="473"/>
      <c r="Q19" s="473"/>
      <c r="R19" s="473"/>
      <c r="S19" s="473"/>
      <c r="T19" s="467">
        <f t="shared" si="1"/>
        <v>416</v>
      </c>
      <c r="U19" s="422"/>
      <c r="V19" s="265"/>
    </row>
    <row r="20">
      <c r="A20" s="37"/>
      <c r="B20" s="308"/>
      <c r="C20" s="330">
        <v>4.0</v>
      </c>
      <c r="D20" s="358" t="s">
        <v>76</v>
      </c>
      <c r="E20" s="564">
        <v>14.0</v>
      </c>
      <c r="F20" s="563">
        <v>7.5</v>
      </c>
      <c r="G20" s="518"/>
      <c r="H20" s="520">
        <v>16.0</v>
      </c>
      <c r="I20" s="517">
        <v>7.5</v>
      </c>
      <c r="J20" s="518"/>
      <c r="K20" s="517" t="s">
        <v>78</v>
      </c>
      <c r="L20" s="517" t="s">
        <v>108</v>
      </c>
      <c r="M20" s="541" t="s">
        <v>97</v>
      </c>
      <c r="O20" s="25"/>
      <c r="P20" s="542">
        <v>3101.0</v>
      </c>
      <c r="Q20" s="339"/>
      <c r="R20" s="339"/>
      <c r="S20" s="339"/>
      <c r="T20" s="467">
        <f t="shared" si="1"/>
        <v>225</v>
      </c>
      <c r="U20" s="422"/>
      <c r="V20" s="265"/>
    </row>
    <row r="21">
      <c r="A21" s="37"/>
      <c r="B21" s="308"/>
      <c r="C21" s="309">
        <v>5.0</v>
      </c>
      <c r="D21" s="341" t="s">
        <v>147</v>
      </c>
      <c r="E21" s="510">
        <v>14.0</v>
      </c>
      <c r="F21" s="572">
        <v>5.0</v>
      </c>
      <c r="G21" s="509"/>
      <c r="H21" s="510">
        <v>16.0</v>
      </c>
      <c r="I21" s="508">
        <v>5.0</v>
      </c>
      <c r="J21" s="509"/>
      <c r="K21" s="508" t="s">
        <v>78</v>
      </c>
      <c r="L21" s="507" t="s">
        <v>134</v>
      </c>
      <c r="M21" s="537" t="s">
        <v>73</v>
      </c>
      <c r="O21" s="25"/>
      <c r="P21" s="543">
        <v>3101.0</v>
      </c>
      <c r="Q21" s="473"/>
      <c r="R21" s="473"/>
      <c r="S21" s="473"/>
      <c r="T21" s="467">
        <f t="shared" si="1"/>
        <v>150</v>
      </c>
      <c r="U21" s="422"/>
      <c r="V21" s="265"/>
    </row>
    <row r="22">
      <c r="A22" s="37"/>
      <c r="B22" s="308"/>
      <c r="C22" s="330">
        <v>6.0</v>
      </c>
      <c r="D22" s="358" t="s">
        <v>149</v>
      </c>
      <c r="E22" s="520">
        <v>12.0</v>
      </c>
      <c r="F22" s="563">
        <v>22.5</v>
      </c>
      <c r="G22" s="518"/>
      <c r="H22" s="520">
        <v>12.0</v>
      </c>
      <c r="I22" s="563">
        <v>22.5</v>
      </c>
      <c r="J22" s="518"/>
      <c r="K22" s="517">
        <v>2.0</v>
      </c>
      <c r="L22" s="539">
        <v>45999.0</v>
      </c>
      <c r="M22" s="527"/>
      <c r="O22" s="25"/>
      <c r="P22" s="542">
        <v>3101.0</v>
      </c>
      <c r="Q22" s="338"/>
      <c r="R22" s="338"/>
      <c r="S22" s="338"/>
      <c r="T22" s="467">
        <f t="shared" si="1"/>
        <v>540</v>
      </c>
      <c r="U22" s="422"/>
      <c r="V22" s="265"/>
    </row>
    <row r="23" ht="36.0" customHeight="1">
      <c r="A23" s="37"/>
      <c r="B23" s="361"/>
      <c r="C23" s="309">
        <v>7.0</v>
      </c>
      <c r="D23" s="360" t="s">
        <v>151</v>
      </c>
      <c r="E23" s="508">
        <v>12.0</v>
      </c>
      <c r="F23" s="508">
        <v>5.0</v>
      </c>
      <c r="G23" s="509"/>
      <c r="H23" s="508">
        <v>16.0</v>
      </c>
      <c r="I23" s="508">
        <v>4.5</v>
      </c>
      <c r="J23" s="509"/>
      <c r="K23" s="508" t="s">
        <v>78</v>
      </c>
      <c r="L23" s="508" t="s">
        <v>134</v>
      </c>
      <c r="M23" s="511" t="s">
        <v>73</v>
      </c>
      <c r="O23" s="25"/>
      <c r="P23" s="543">
        <v>3200.0</v>
      </c>
      <c r="Q23" s="473"/>
      <c r="R23" s="473"/>
      <c r="S23" s="473"/>
      <c r="T23" s="467">
        <f t="shared" si="1"/>
        <v>132</v>
      </c>
      <c r="U23" s="422"/>
      <c r="V23" s="265"/>
    </row>
    <row r="24" ht="34.5" customHeight="1">
      <c r="A24" s="37"/>
      <c r="B24" s="265"/>
      <c r="C24" s="265"/>
      <c r="D24" s="265"/>
      <c r="E24" s="265"/>
      <c r="F24" s="265"/>
      <c r="G24" s="265"/>
      <c r="H24" s="265"/>
      <c r="I24" s="265"/>
      <c r="J24" s="292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37"/>
      <c r="B25" s="265"/>
      <c r="C25" s="294" t="s">
        <v>209</v>
      </c>
      <c r="D25" s="295"/>
      <c r="E25" s="296" t="s">
        <v>210</v>
      </c>
      <c r="F25" s="297"/>
      <c r="G25" s="297"/>
      <c r="H25" s="297"/>
      <c r="I25" s="297"/>
      <c r="J25" s="297"/>
      <c r="K25" s="297"/>
      <c r="L25" s="297"/>
      <c r="M25" s="282"/>
      <c r="N25" s="298" t="s">
        <v>211</v>
      </c>
      <c r="O25" s="268"/>
      <c r="P25" s="57"/>
      <c r="Q25" s="286"/>
      <c r="R25" s="268"/>
      <c r="S25" s="57"/>
      <c r="T25" s="292"/>
      <c r="U25" s="265"/>
      <c r="V25" s="265"/>
    </row>
    <row r="26">
      <c r="A26" s="37"/>
      <c r="B26" s="265"/>
      <c r="C26" s="301" t="s">
        <v>214</v>
      </c>
      <c r="D26" s="372">
        <v>46056.0</v>
      </c>
      <c r="E26" s="303" t="s">
        <v>215</v>
      </c>
      <c r="F26" s="22"/>
      <c r="G26" s="28"/>
      <c r="H26" s="304" t="s">
        <v>216</v>
      </c>
      <c r="I26" s="297"/>
      <c r="J26" s="282"/>
      <c r="K26" s="304"/>
      <c r="L26" s="297"/>
      <c r="M26" s="282"/>
      <c r="N26" s="304"/>
      <c r="O26" s="297"/>
      <c r="P26" s="282"/>
      <c r="Q26" s="304"/>
      <c r="R26" s="297"/>
      <c r="S26" s="282"/>
      <c r="T26" s="265"/>
      <c r="U26" s="265"/>
      <c r="V26" s="265"/>
    </row>
    <row r="27">
      <c r="A27" s="37"/>
      <c r="B27" s="456" t="s">
        <v>234</v>
      </c>
      <c r="C27" s="306" t="s">
        <v>221</v>
      </c>
      <c r="D27" s="306" t="s">
        <v>222</v>
      </c>
      <c r="E27" s="301" t="s">
        <v>223</v>
      </c>
      <c r="F27" s="301" t="s">
        <v>224</v>
      </c>
      <c r="G27" s="301" t="s">
        <v>66</v>
      </c>
      <c r="H27" s="301" t="s">
        <v>223</v>
      </c>
      <c r="I27" s="301" t="s">
        <v>224</v>
      </c>
      <c r="J27" s="301" t="s">
        <v>66</v>
      </c>
      <c r="K27" s="301" t="s">
        <v>268</v>
      </c>
      <c r="L27" s="301" t="s">
        <v>269</v>
      </c>
      <c r="M27" s="468" t="s">
        <v>270</v>
      </c>
      <c r="N27" s="297"/>
      <c r="O27" s="282"/>
      <c r="P27" s="301" t="s">
        <v>271</v>
      </c>
      <c r="Q27" s="301"/>
      <c r="R27" s="301"/>
      <c r="S27" s="301"/>
      <c r="T27" s="307" t="s">
        <v>225</v>
      </c>
      <c r="U27" s="421" t="s">
        <v>263</v>
      </c>
      <c r="V27" s="265"/>
    </row>
    <row r="28">
      <c r="A28" s="37"/>
      <c r="B28" s="308"/>
      <c r="C28" s="309">
        <v>1.0</v>
      </c>
      <c r="D28" s="360" t="s">
        <v>167</v>
      </c>
      <c r="E28" s="507">
        <v>16.0</v>
      </c>
      <c r="F28" s="508">
        <v>55.0</v>
      </c>
      <c r="G28" s="509"/>
      <c r="H28" s="507">
        <v>20.0</v>
      </c>
      <c r="I28" s="510">
        <v>50.0</v>
      </c>
      <c r="J28" s="509"/>
      <c r="K28" s="508">
        <v>2.0</v>
      </c>
      <c r="L28" s="507" t="s">
        <v>134</v>
      </c>
      <c r="M28" s="537" t="s">
        <v>124</v>
      </c>
      <c r="O28" s="25"/>
      <c r="P28" s="314">
        <v>3101.0</v>
      </c>
      <c r="Q28" s="438"/>
      <c r="R28" s="438"/>
      <c r="S28" s="438"/>
      <c r="T28" s="319">
        <f t="shared" ref="T28:T34" si="2">(E28*F28)+(H28*I28)</f>
        <v>1880</v>
      </c>
      <c r="U28" s="422"/>
      <c r="V28" s="265"/>
    </row>
    <row r="29">
      <c r="A29" s="37"/>
      <c r="B29" s="308"/>
      <c r="C29" s="330">
        <v>2.0</v>
      </c>
      <c r="D29" s="358" t="s">
        <v>169</v>
      </c>
      <c r="E29" s="516">
        <v>14.0</v>
      </c>
      <c r="F29" s="517">
        <v>15.0</v>
      </c>
      <c r="G29" s="518"/>
      <c r="H29" s="519">
        <v>18.0</v>
      </c>
      <c r="I29" s="520">
        <v>15.0</v>
      </c>
      <c r="J29" s="518"/>
      <c r="K29" s="517" t="s">
        <v>78</v>
      </c>
      <c r="L29" s="519" t="s">
        <v>134</v>
      </c>
      <c r="M29" s="521" t="s">
        <v>73</v>
      </c>
      <c r="O29" s="25"/>
      <c r="P29" s="335">
        <v>3101.0</v>
      </c>
      <c r="Q29" s="336"/>
      <c r="R29" s="336"/>
      <c r="S29" s="336"/>
      <c r="T29" s="319">
        <f t="shared" si="2"/>
        <v>480</v>
      </c>
      <c r="U29" s="422"/>
      <c r="V29" s="265"/>
    </row>
    <row r="30">
      <c r="A30" s="37"/>
      <c r="B30" s="308"/>
      <c r="C30" s="309">
        <v>3.0</v>
      </c>
      <c r="D30" s="360" t="s">
        <v>170</v>
      </c>
      <c r="E30" s="507">
        <v>8.0</v>
      </c>
      <c r="F30" s="572">
        <v>80.0</v>
      </c>
      <c r="G30" s="509"/>
      <c r="H30" s="507">
        <v>8.0</v>
      </c>
      <c r="I30" s="523">
        <v>80.0</v>
      </c>
      <c r="J30" s="509"/>
      <c r="K30" s="508">
        <v>2.0</v>
      </c>
      <c r="L30" s="524">
        <v>45510.0</v>
      </c>
      <c r="M30" s="187"/>
      <c r="O30" s="25"/>
      <c r="P30" s="344"/>
      <c r="Q30" s="318"/>
      <c r="R30" s="318"/>
      <c r="S30" s="318"/>
      <c r="T30" s="319">
        <f t="shared" si="2"/>
        <v>1280</v>
      </c>
      <c r="U30" s="422"/>
      <c r="V30" s="265"/>
    </row>
    <row r="31">
      <c r="A31" s="37"/>
      <c r="B31" s="308"/>
      <c r="C31" s="330">
        <v>4.0</v>
      </c>
      <c r="D31" s="358" t="s">
        <v>171</v>
      </c>
      <c r="E31" s="519">
        <v>10.0</v>
      </c>
      <c r="F31" s="563">
        <v>180.0</v>
      </c>
      <c r="G31" s="518"/>
      <c r="H31" s="519">
        <v>10.0</v>
      </c>
      <c r="I31" s="564">
        <v>180.0</v>
      </c>
      <c r="J31" s="518"/>
      <c r="K31" s="517">
        <v>2.0</v>
      </c>
      <c r="L31" s="526">
        <v>45573.0</v>
      </c>
      <c r="M31" s="527"/>
      <c r="O31" s="25"/>
      <c r="P31" s="339"/>
      <c r="Q31" s="336"/>
      <c r="R31" s="336"/>
      <c r="S31" s="336"/>
      <c r="T31" s="319">
        <f t="shared" si="2"/>
        <v>3600</v>
      </c>
      <c r="U31" s="422"/>
      <c r="V31" s="265"/>
    </row>
    <row r="32">
      <c r="A32" s="37"/>
      <c r="B32" s="308"/>
      <c r="C32" s="309">
        <v>5.0</v>
      </c>
      <c r="D32" s="341" t="s">
        <v>172</v>
      </c>
      <c r="E32" s="529">
        <v>12.0</v>
      </c>
      <c r="F32" s="508">
        <v>70.0</v>
      </c>
      <c r="G32" s="509"/>
      <c r="H32" s="529">
        <v>14.0</v>
      </c>
      <c r="I32" s="510">
        <v>70.0</v>
      </c>
      <c r="J32" s="509"/>
      <c r="K32" s="508" t="s">
        <v>78</v>
      </c>
      <c r="L32" s="530">
        <v>45636.0</v>
      </c>
      <c r="M32" s="537" t="s">
        <v>73</v>
      </c>
      <c r="O32" s="25"/>
      <c r="P32" s="344"/>
      <c r="Q32" s="318"/>
      <c r="R32" s="318"/>
      <c r="S32" s="318"/>
      <c r="T32" s="319">
        <f t="shared" si="2"/>
        <v>1820</v>
      </c>
      <c r="U32" s="422"/>
      <c r="V32" s="265"/>
    </row>
    <row r="33">
      <c r="A33" s="37"/>
      <c r="B33" s="308"/>
      <c r="C33" s="330">
        <v>6.0</v>
      </c>
      <c r="D33" s="358" t="s">
        <v>174</v>
      </c>
      <c r="E33" s="519">
        <v>12.0</v>
      </c>
      <c r="F33" s="517">
        <v>22.5</v>
      </c>
      <c r="G33" s="518"/>
      <c r="H33" s="519">
        <v>10.0</v>
      </c>
      <c r="I33" s="520">
        <v>22.5</v>
      </c>
      <c r="J33" s="518"/>
      <c r="K33" s="517">
        <v>2.0</v>
      </c>
      <c r="L33" s="526">
        <v>45999.0</v>
      </c>
      <c r="M33" s="527"/>
      <c r="O33" s="25"/>
      <c r="P33" s="335">
        <v>3100.0</v>
      </c>
      <c r="Q33" s="336"/>
      <c r="R33" s="336"/>
      <c r="S33" s="336"/>
      <c r="T33" s="319">
        <f t="shared" si="2"/>
        <v>495</v>
      </c>
      <c r="U33" s="422"/>
      <c r="V33" s="265"/>
    </row>
    <row r="34">
      <c r="A34" s="37"/>
      <c r="B34" s="361"/>
      <c r="C34" s="309">
        <v>7.0</v>
      </c>
      <c r="D34" s="360"/>
      <c r="E34" s="259"/>
      <c r="F34" s="383"/>
      <c r="G34" s="318"/>
      <c r="H34" s="343"/>
      <c r="I34" s="342"/>
      <c r="J34" s="344"/>
      <c r="K34" s="481"/>
      <c r="L34" s="566"/>
      <c r="M34" s="100"/>
      <c r="O34" s="25"/>
      <c r="P34" s="472"/>
      <c r="Q34" s="318"/>
      <c r="R34" s="318"/>
      <c r="S34" s="318"/>
      <c r="T34" s="319">
        <f t="shared" si="2"/>
        <v>0</v>
      </c>
      <c r="U34" s="422"/>
      <c r="V34" s="265"/>
    </row>
    <row r="35" ht="30.0" customHeight="1">
      <c r="A35" s="37"/>
      <c r="B35" s="265"/>
      <c r="C35" s="265"/>
      <c r="D35" s="265"/>
      <c r="E35" s="265"/>
      <c r="F35" s="265"/>
      <c r="G35" s="265"/>
      <c r="H35" s="265"/>
      <c r="I35" s="265"/>
      <c r="J35" s="292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</row>
    <row r="36">
      <c r="A36" s="37"/>
      <c r="B36" s="265"/>
      <c r="C36" s="294" t="s">
        <v>209</v>
      </c>
      <c r="D36" s="295"/>
      <c r="E36" s="296" t="s">
        <v>241</v>
      </c>
      <c r="F36" s="297"/>
      <c r="G36" s="297"/>
      <c r="H36" s="297"/>
      <c r="I36" s="297"/>
      <c r="J36" s="297"/>
      <c r="K36" s="297"/>
      <c r="L36" s="297"/>
      <c r="M36" s="282"/>
      <c r="N36" s="298" t="s">
        <v>211</v>
      </c>
      <c r="O36" s="268"/>
      <c r="P36" s="57"/>
      <c r="Q36" s="286"/>
      <c r="R36" s="268"/>
      <c r="S36" s="57"/>
      <c r="T36" s="292"/>
      <c r="U36" s="265"/>
      <c r="V36" s="265"/>
    </row>
    <row r="37">
      <c r="A37" s="37"/>
      <c r="B37" s="265"/>
      <c r="C37" s="301" t="s">
        <v>214</v>
      </c>
      <c r="D37" s="372">
        <v>46057.0</v>
      </c>
      <c r="E37" s="303" t="s">
        <v>215</v>
      </c>
      <c r="F37" s="22"/>
      <c r="G37" s="28"/>
      <c r="H37" s="304" t="s">
        <v>216</v>
      </c>
      <c r="I37" s="297"/>
      <c r="J37" s="282"/>
      <c r="K37" s="304"/>
      <c r="L37" s="297"/>
      <c r="M37" s="282"/>
      <c r="N37" s="304"/>
      <c r="O37" s="297"/>
      <c r="P37" s="282"/>
      <c r="Q37" s="304"/>
      <c r="R37" s="297"/>
      <c r="S37" s="282"/>
      <c r="T37" s="265"/>
      <c r="U37" s="265"/>
      <c r="V37" s="265"/>
    </row>
    <row r="38">
      <c r="A38" s="37"/>
      <c r="B38" s="470" t="s">
        <v>242</v>
      </c>
      <c r="C38" s="306" t="s">
        <v>221</v>
      </c>
      <c r="D38" s="306" t="s">
        <v>222</v>
      </c>
      <c r="E38" s="301" t="s">
        <v>223</v>
      </c>
      <c r="F38" s="301" t="s">
        <v>224</v>
      </c>
      <c r="G38" s="301" t="s">
        <v>66</v>
      </c>
      <c r="H38" s="301" t="s">
        <v>223</v>
      </c>
      <c r="I38" s="301" t="s">
        <v>224</v>
      </c>
      <c r="J38" s="301" t="s">
        <v>66</v>
      </c>
      <c r="K38" s="301" t="s">
        <v>268</v>
      </c>
      <c r="L38" s="301" t="s">
        <v>269</v>
      </c>
      <c r="M38" s="468" t="s">
        <v>270</v>
      </c>
      <c r="N38" s="282"/>
      <c r="O38" s="301" t="s">
        <v>271</v>
      </c>
      <c r="P38" s="301"/>
      <c r="Q38" s="301"/>
      <c r="R38" s="301"/>
      <c r="S38" s="301"/>
      <c r="T38" s="307" t="s">
        <v>225</v>
      </c>
      <c r="U38" s="421" t="s">
        <v>263</v>
      </c>
      <c r="V38" s="265"/>
    </row>
    <row r="39" ht="33.75" customHeight="1">
      <c r="A39" s="37"/>
      <c r="B39" s="308"/>
      <c r="C39" s="309">
        <v>1.0</v>
      </c>
      <c r="D39" s="360" t="s">
        <v>154</v>
      </c>
      <c r="E39" s="413">
        <v>10.0</v>
      </c>
      <c r="F39" s="442">
        <v>20.0</v>
      </c>
      <c r="G39" s="414"/>
      <c r="H39" s="413">
        <v>10.0</v>
      </c>
      <c r="I39" s="442">
        <v>20.0</v>
      </c>
      <c r="J39" s="317"/>
      <c r="K39" s="312">
        <v>2.0</v>
      </c>
      <c r="L39" s="209">
        <v>45573.0</v>
      </c>
      <c r="M39" s="218"/>
      <c r="N39" s="218"/>
      <c r="O39" s="316"/>
      <c r="P39" s="317"/>
      <c r="Q39" s="318"/>
      <c r="R39" s="316"/>
      <c r="S39" s="318"/>
      <c r="T39" s="319">
        <f t="shared" ref="T39:T45" si="3">(E39*F39)+(H39*I39)</f>
        <v>400</v>
      </c>
      <c r="U39" s="422"/>
      <c r="V39" s="265"/>
    </row>
    <row r="40" ht="33.75" customHeight="1">
      <c r="A40" s="37"/>
      <c r="B40" s="308"/>
      <c r="C40" s="330">
        <v>2.0</v>
      </c>
      <c r="D40" s="358" t="s">
        <v>155</v>
      </c>
      <c r="E40" s="427">
        <v>12.0</v>
      </c>
      <c r="F40" s="427">
        <v>20.0</v>
      </c>
      <c r="G40" s="416"/>
      <c r="H40" s="427">
        <v>11.0</v>
      </c>
      <c r="I40" s="427">
        <v>20.0</v>
      </c>
      <c r="J40" s="339"/>
      <c r="K40" s="333" t="s">
        <v>78</v>
      </c>
      <c r="L40" s="459">
        <v>45636.0</v>
      </c>
      <c r="M40" s="455" t="s">
        <v>73</v>
      </c>
      <c r="O40" s="338"/>
      <c r="P40" s="339"/>
      <c r="Q40" s="336"/>
      <c r="R40" s="338"/>
      <c r="S40" s="336"/>
      <c r="T40" s="319">
        <f t="shared" si="3"/>
        <v>460</v>
      </c>
      <c r="U40" s="422"/>
      <c r="V40" s="265"/>
    </row>
    <row r="41" ht="33.75" customHeight="1">
      <c r="A41" s="37"/>
      <c r="B41" s="308"/>
      <c r="C41" s="309">
        <v>3.0</v>
      </c>
      <c r="D41" s="360" t="s">
        <v>156</v>
      </c>
      <c r="E41" s="428">
        <v>8.0</v>
      </c>
      <c r="F41" s="428">
        <v>60.0</v>
      </c>
      <c r="G41" s="418"/>
      <c r="H41" s="417">
        <v>8.0</v>
      </c>
      <c r="I41" s="428">
        <v>60.0</v>
      </c>
      <c r="J41" s="344"/>
      <c r="K41" s="342">
        <v>2.0</v>
      </c>
      <c r="L41" s="236">
        <v>45875.0</v>
      </c>
      <c r="M41" s="218"/>
      <c r="N41" s="218"/>
      <c r="O41" s="346"/>
      <c r="P41" s="344"/>
      <c r="Q41" s="318"/>
      <c r="R41" s="346"/>
      <c r="S41" s="318"/>
      <c r="T41" s="319">
        <f t="shared" si="3"/>
        <v>960</v>
      </c>
      <c r="U41" s="422"/>
      <c r="V41" s="265"/>
    </row>
    <row r="42" ht="33.75" customHeight="1">
      <c r="A42" s="37"/>
      <c r="B42" s="308"/>
      <c r="C42" s="330">
        <v>4.0</v>
      </c>
      <c r="D42" s="358" t="s">
        <v>159</v>
      </c>
      <c r="E42" s="415">
        <v>12.0</v>
      </c>
      <c r="F42" s="427">
        <v>60.0</v>
      </c>
      <c r="G42" s="416"/>
      <c r="H42" s="415">
        <v>12.0</v>
      </c>
      <c r="I42" s="427">
        <v>60.0</v>
      </c>
      <c r="J42" s="339"/>
      <c r="K42" s="333">
        <v>2.0</v>
      </c>
      <c r="L42" s="459">
        <v>45636.0</v>
      </c>
      <c r="M42" s="462"/>
      <c r="N42" s="462"/>
      <c r="O42" s="338"/>
      <c r="P42" s="339"/>
      <c r="Q42" s="336"/>
      <c r="R42" s="338"/>
      <c r="S42" s="336"/>
      <c r="T42" s="319">
        <f t="shared" si="3"/>
        <v>1440</v>
      </c>
      <c r="U42" s="422"/>
      <c r="V42" s="265"/>
    </row>
    <row r="43" ht="33.75" customHeight="1">
      <c r="A43" s="37"/>
      <c r="B43" s="308"/>
      <c r="C43" s="309">
        <v>5.0</v>
      </c>
      <c r="D43" s="341" t="s">
        <v>275</v>
      </c>
      <c r="E43" s="428">
        <v>10.0</v>
      </c>
      <c r="F43" s="428">
        <v>50.0</v>
      </c>
      <c r="G43" s="418"/>
      <c r="H43" s="428">
        <v>10.0</v>
      </c>
      <c r="I43" s="428">
        <v>50.0</v>
      </c>
      <c r="J43" s="344"/>
      <c r="K43" s="342">
        <v>2.0</v>
      </c>
      <c r="L43" s="463">
        <v>45938.0</v>
      </c>
      <c r="M43" s="241"/>
      <c r="N43" s="241"/>
      <c r="O43" s="346"/>
      <c r="P43" s="344"/>
      <c r="Q43" s="318"/>
      <c r="R43" s="346"/>
      <c r="S43" s="318"/>
      <c r="T43" s="319">
        <f t="shared" si="3"/>
        <v>1000</v>
      </c>
      <c r="U43" s="422"/>
      <c r="V43" s="265"/>
    </row>
    <row r="44" ht="33.75" customHeight="1">
      <c r="A44" s="37"/>
      <c r="B44" s="308"/>
      <c r="C44" s="330">
        <v>6.0</v>
      </c>
      <c r="D44" s="358" t="s">
        <v>107</v>
      </c>
      <c r="E44" s="427">
        <v>14.0</v>
      </c>
      <c r="F44" s="415">
        <v>10.0</v>
      </c>
      <c r="G44" s="419"/>
      <c r="H44" s="427">
        <v>16.0</v>
      </c>
      <c r="I44" s="489">
        <v>45784.0</v>
      </c>
      <c r="J44" s="339"/>
      <c r="K44" s="338" t="s">
        <v>78</v>
      </c>
      <c r="L44" s="436" t="s">
        <v>134</v>
      </c>
      <c r="M44" s="455" t="s">
        <v>73</v>
      </c>
      <c r="O44" s="338">
        <v>3100.0</v>
      </c>
      <c r="P44" s="462"/>
      <c r="Q44" s="462"/>
      <c r="R44" s="462"/>
      <c r="S44" s="462"/>
      <c r="T44" s="568">
        <f t="shared" si="3"/>
        <v>732684</v>
      </c>
      <c r="U44" s="422"/>
      <c r="V44" s="265"/>
    </row>
    <row r="45" ht="33.0" customHeight="1">
      <c r="A45" s="37"/>
      <c r="B45" s="308"/>
      <c r="C45" s="309">
        <v>7.0</v>
      </c>
      <c r="D45" s="360" t="s">
        <v>163</v>
      </c>
      <c r="E45" s="428">
        <v>14.0</v>
      </c>
      <c r="F45" s="428">
        <v>5.0</v>
      </c>
      <c r="G45" s="420"/>
      <c r="H45" s="428">
        <v>16.0</v>
      </c>
      <c r="I45" s="428">
        <v>5.0</v>
      </c>
      <c r="J45" s="344"/>
      <c r="K45" s="342" t="s">
        <v>78</v>
      </c>
      <c r="L45" s="244" t="s">
        <v>134</v>
      </c>
      <c r="M45" s="97" t="s">
        <v>73</v>
      </c>
      <c r="O45" s="346">
        <v>3101.0</v>
      </c>
      <c r="P45" s="344"/>
      <c r="Q45" s="318"/>
      <c r="R45" s="346"/>
      <c r="S45" s="318"/>
      <c r="T45" s="319">
        <f t="shared" si="3"/>
        <v>150</v>
      </c>
      <c r="U45" s="422"/>
      <c r="V45" s="265"/>
    </row>
    <row r="46" ht="30.0" customHeight="1">
      <c r="A46" s="264"/>
      <c r="B46" s="368"/>
      <c r="C46" s="265"/>
      <c r="D46" s="265"/>
      <c r="E46" s="265"/>
      <c r="F46" s="265"/>
      <c r="G46" s="265"/>
      <c r="H46" s="265"/>
      <c r="I46" s="265"/>
      <c r="J46" s="292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</row>
    <row r="47">
      <c r="A47" s="37"/>
      <c r="B47" s="265"/>
      <c r="C47" s="294" t="s">
        <v>209</v>
      </c>
      <c r="D47" s="295"/>
      <c r="E47" s="296" t="s">
        <v>257</v>
      </c>
      <c r="F47" s="297"/>
      <c r="G47" s="297"/>
      <c r="H47" s="297"/>
      <c r="I47" s="297"/>
      <c r="J47" s="297"/>
      <c r="K47" s="297"/>
      <c r="L47" s="297"/>
      <c r="M47" s="282"/>
      <c r="N47" s="298" t="s">
        <v>211</v>
      </c>
      <c r="O47" s="268"/>
      <c r="P47" s="57"/>
      <c r="Q47" s="286"/>
      <c r="R47" s="268"/>
      <c r="S47" s="57"/>
      <c r="T47" s="292"/>
      <c r="U47" s="265"/>
      <c r="V47" s="265"/>
    </row>
    <row r="48">
      <c r="A48" s="37"/>
      <c r="B48" s="265"/>
      <c r="C48" s="301" t="s">
        <v>214</v>
      </c>
      <c r="D48" s="372">
        <v>46059.0</v>
      </c>
      <c r="E48" s="303" t="s">
        <v>215</v>
      </c>
      <c r="F48" s="22"/>
      <c r="G48" s="28"/>
      <c r="H48" s="304" t="s">
        <v>216</v>
      </c>
      <c r="I48" s="297"/>
      <c r="J48" s="282"/>
      <c r="K48" s="304"/>
      <c r="L48" s="297"/>
      <c r="M48" s="282"/>
      <c r="N48" s="304"/>
      <c r="O48" s="297"/>
      <c r="P48" s="282"/>
      <c r="Q48" s="304"/>
      <c r="R48" s="297"/>
      <c r="S48" s="282"/>
      <c r="T48" s="265"/>
      <c r="U48" s="265"/>
      <c r="V48" s="265"/>
    </row>
    <row r="49">
      <c r="A49" s="37"/>
      <c r="B49" s="470" t="s">
        <v>245</v>
      </c>
      <c r="C49" s="306" t="s">
        <v>221</v>
      </c>
      <c r="D49" s="306" t="s">
        <v>222</v>
      </c>
      <c r="E49" s="301" t="s">
        <v>223</v>
      </c>
      <c r="F49" s="301" t="s">
        <v>224</v>
      </c>
      <c r="G49" s="301" t="s">
        <v>66</v>
      </c>
      <c r="H49" s="301" t="s">
        <v>223</v>
      </c>
      <c r="I49" s="301" t="s">
        <v>224</v>
      </c>
      <c r="J49" s="301" t="s">
        <v>66</v>
      </c>
      <c r="K49" s="301" t="s">
        <v>64</v>
      </c>
      <c r="L49" s="301" t="s">
        <v>223</v>
      </c>
      <c r="M49" s="444" t="s">
        <v>266</v>
      </c>
      <c r="N49" s="282"/>
      <c r="O49" s="301" t="s">
        <v>271</v>
      </c>
      <c r="P49" s="301"/>
      <c r="Q49" s="301"/>
      <c r="R49" s="301"/>
      <c r="S49" s="466"/>
      <c r="T49" s="307" t="s">
        <v>225</v>
      </c>
      <c r="U49" s="421" t="s">
        <v>263</v>
      </c>
      <c r="V49" s="265"/>
    </row>
    <row r="50" ht="33.75" customHeight="1">
      <c r="A50" s="37"/>
      <c r="B50" s="308"/>
      <c r="C50" s="561">
        <v>1.0</v>
      </c>
      <c r="D50" s="373" t="s">
        <v>127</v>
      </c>
      <c r="E50" s="312">
        <v>14.0</v>
      </c>
      <c r="F50" s="312">
        <v>10.0</v>
      </c>
      <c r="G50" s="318"/>
      <c r="H50" s="313">
        <v>12.0</v>
      </c>
      <c r="I50" s="312">
        <v>10.0</v>
      </c>
      <c r="J50" s="317"/>
      <c r="K50" s="312">
        <v>2.0</v>
      </c>
      <c r="L50" s="312" t="s">
        <v>134</v>
      </c>
      <c r="M50" s="318"/>
      <c r="O50" s="25"/>
      <c r="P50" s="317"/>
      <c r="Q50" s="222"/>
      <c r="R50" s="316"/>
      <c r="S50" s="316"/>
      <c r="T50" s="467">
        <f t="shared" ref="T50:T56" si="4">(E50*F50)+(H50*I50)</f>
        <v>260</v>
      </c>
      <c r="U50" s="422"/>
      <c r="V50" s="265"/>
    </row>
    <row r="51" ht="33.75" customHeight="1">
      <c r="A51" s="37"/>
      <c r="B51" s="308"/>
      <c r="C51" s="562">
        <v>2.0</v>
      </c>
      <c r="D51" s="377" t="s">
        <v>178</v>
      </c>
      <c r="E51" s="423">
        <v>6.0</v>
      </c>
      <c r="F51" s="333">
        <v>60.0</v>
      </c>
      <c r="G51" s="336"/>
      <c r="H51" s="334">
        <v>8.0</v>
      </c>
      <c r="I51" s="333">
        <v>50.0</v>
      </c>
      <c r="J51" s="339"/>
      <c r="K51" s="339">
        <v>2.0</v>
      </c>
      <c r="L51" s="440">
        <v>45938.0</v>
      </c>
      <c r="M51" s="336"/>
      <c r="O51" s="25"/>
      <c r="P51" s="339"/>
      <c r="Q51" s="436"/>
      <c r="R51" s="338"/>
      <c r="S51" s="338"/>
      <c r="T51" s="467">
        <f t="shared" si="4"/>
        <v>760</v>
      </c>
      <c r="U51" s="422"/>
      <c r="V51" s="265"/>
    </row>
    <row r="52" ht="33.75" customHeight="1">
      <c r="A52" s="37"/>
      <c r="B52" s="308"/>
      <c r="C52" s="561">
        <v>3.0</v>
      </c>
      <c r="D52" s="382" t="s">
        <v>179</v>
      </c>
      <c r="E52" s="259">
        <v>6.0</v>
      </c>
      <c r="F52" s="383">
        <v>60.0</v>
      </c>
      <c r="G52" s="318"/>
      <c r="H52" s="343">
        <v>6.0</v>
      </c>
      <c r="I52" s="342">
        <v>50.0</v>
      </c>
      <c r="J52" s="344"/>
      <c r="K52" s="481">
        <v>2.0</v>
      </c>
      <c r="L52" s="432">
        <v>45510.0</v>
      </c>
      <c r="M52" s="318"/>
      <c r="O52" s="25"/>
      <c r="P52" s="344"/>
      <c r="Q52" s="209"/>
      <c r="R52" s="346"/>
      <c r="S52" s="346"/>
      <c r="T52" s="467">
        <f t="shared" si="4"/>
        <v>660</v>
      </c>
      <c r="U52" s="422"/>
      <c r="V52" s="265"/>
    </row>
    <row r="53" ht="33.75" customHeight="1">
      <c r="A53" s="37"/>
      <c r="B53" s="308"/>
      <c r="C53" s="562">
        <v>4.0</v>
      </c>
      <c r="D53" s="377" t="s">
        <v>180</v>
      </c>
      <c r="E53" s="423">
        <v>10.0</v>
      </c>
      <c r="F53" s="379">
        <v>30.0</v>
      </c>
      <c r="G53" s="336"/>
      <c r="H53" s="334">
        <v>10.0</v>
      </c>
      <c r="I53" s="333">
        <v>30.0</v>
      </c>
      <c r="J53" s="339"/>
      <c r="K53" s="339">
        <v>2.0</v>
      </c>
      <c r="L53" s="440">
        <v>45938.0</v>
      </c>
      <c r="M53" s="336"/>
      <c r="O53" s="25"/>
      <c r="P53" s="339"/>
      <c r="Q53" s="459"/>
      <c r="R53" s="338"/>
      <c r="S53" s="338"/>
      <c r="T53" s="467">
        <f t="shared" si="4"/>
        <v>600</v>
      </c>
      <c r="U53" s="422"/>
      <c r="V53" s="265"/>
    </row>
    <row r="54" ht="33.75" customHeight="1">
      <c r="A54" s="37"/>
      <c r="B54" s="308"/>
      <c r="C54" s="561">
        <v>5.0</v>
      </c>
      <c r="D54" s="382" t="s">
        <v>141</v>
      </c>
      <c r="E54" s="259">
        <v>14.0</v>
      </c>
      <c r="F54" s="383">
        <v>15.0</v>
      </c>
      <c r="G54" s="318"/>
      <c r="H54" s="343">
        <v>8.0</v>
      </c>
      <c r="I54" s="342">
        <v>15.0</v>
      </c>
      <c r="J54" s="344"/>
      <c r="K54" s="481" t="s">
        <v>78</v>
      </c>
      <c r="L54" s="566" t="s">
        <v>108</v>
      </c>
      <c r="M54" s="100" t="s">
        <v>73</v>
      </c>
      <c r="O54" s="25"/>
      <c r="P54" s="344">
        <v>3101.0</v>
      </c>
      <c r="Q54" s="239"/>
      <c r="R54" s="346"/>
      <c r="S54" s="346"/>
      <c r="T54" s="467">
        <f t="shared" si="4"/>
        <v>330</v>
      </c>
      <c r="U54" s="422"/>
      <c r="V54" s="265"/>
    </row>
    <row r="55" ht="33.75" customHeight="1">
      <c r="A55" s="37"/>
      <c r="B55" s="308"/>
      <c r="C55" s="562">
        <v>6.0</v>
      </c>
      <c r="D55" s="331" t="s">
        <v>139</v>
      </c>
      <c r="E55" s="423">
        <v>12.0</v>
      </c>
      <c r="F55" s="379">
        <v>30.0</v>
      </c>
      <c r="G55" s="336"/>
      <c r="H55" s="334">
        <v>14.0</v>
      </c>
      <c r="I55" s="333">
        <v>30.0</v>
      </c>
      <c r="J55" s="339"/>
      <c r="K55" s="339" t="s">
        <v>78</v>
      </c>
      <c r="L55" s="440">
        <v>45999.0</v>
      </c>
      <c r="M55" s="336" t="s">
        <v>97</v>
      </c>
      <c r="O55" s="25"/>
      <c r="P55" s="339"/>
      <c r="Q55" s="424"/>
      <c r="R55" s="338"/>
      <c r="S55" s="338"/>
      <c r="T55" s="467">
        <f t="shared" si="4"/>
        <v>780</v>
      </c>
      <c r="U55" s="422"/>
      <c r="V55" s="265"/>
    </row>
    <row r="56" ht="33.75" customHeight="1">
      <c r="A56" s="37"/>
      <c r="B56" s="308"/>
      <c r="C56" s="309">
        <v>7.0</v>
      </c>
      <c r="D56" s="382" t="s">
        <v>88</v>
      </c>
      <c r="E56" s="259">
        <v>13.0</v>
      </c>
      <c r="F56" s="383">
        <v>10.0</v>
      </c>
      <c r="G56" s="318"/>
      <c r="H56" s="343">
        <v>11.0</v>
      </c>
      <c r="I56" s="342">
        <v>8.0</v>
      </c>
      <c r="J56" s="344"/>
      <c r="K56" s="481" t="s">
        <v>78</v>
      </c>
      <c r="L56" s="566" t="s">
        <v>108</v>
      </c>
      <c r="M56" s="100" t="s">
        <v>73</v>
      </c>
      <c r="O56" s="25"/>
      <c r="P56" s="472">
        <v>3101.0</v>
      </c>
      <c r="Q56" s="239"/>
      <c r="R56" s="346"/>
      <c r="S56" s="346"/>
      <c r="T56" s="467">
        <f t="shared" si="4"/>
        <v>218</v>
      </c>
      <c r="U56" s="422"/>
      <c r="V56" s="37"/>
    </row>
    <row r="57" ht="49.5" customHeight="1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</row>
    <row r="58" ht="49.5" customHeight="1">
      <c r="A58" s="37"/>
      <c r="B58" s="265"/>
      <c r="C58" s="294" t="s">
        <v>209</v>
      </c>
      <c r="D58" s="295"/>
      <c r="E58" s="296" t="s">
        <v>244</v>
      </c>
      <c r="F58" s="297"/>
      <c r="G58" s="297"/>
      <c r="H58" s="297"/>
      <c r="I58" s="297"/>
      <c r="J58" s="297"/>
      <c r="K58" s="297"/>
      <c r="L58" s="297"/>
      <c r="M58" s="282"/>
      <c r="N58" s="298" t="s">
        <v>211</v>
      </c>
      <c r="O58" s="268"/>
      <c r="P58" s="57"/>
      <c r="Q58" s="286"/>
      <c r="R58" s="268"/>
      <c r="S58" s="57"/>
      <c r="T58" s="292"/>
      <c r="U58" s="265"/>
      <c r="V58" s="265"/>
    </row>
    <row r="59">
      <c r="A59" s="37"/>
      <c r="B59" s="265"/>
      <c r="C59" s="301" t="s">
        <v>214</v>
      </c>
      <c r="D59" s="372">
        <v>46060.0</v>
      </c>
      <c r="E59" s="303" t="s">
        <v>215</v>
      </c>
      <c r="F59" s="22"/>
      <c r="G59" s="28"/>
      <c r="H59" s="304" t="s">
        <v>216</v>
      </c>
      <c r="I59" s="297"/>
      <c r="J59" s="282"/>
      <c r="K59" s="304"/>
      <c r="L59" s="297"/>
      <c r="M59" s="282"/>
      <c r="N59" s="304"/>
      <c r="O59" s="297"/>
      <c r="P59" s="282"/>
      <c r="Q59" s="304"/>
      <c r="R59" s="297"/>
      <c r="S59" s="282"/>
      <c r="T59" s="265"/>
      <c r="U59" s="265"/>
      <c r="V59" s="265"/>
    </row>
    <row r="60">
      <c r="A60" s="37"/>
      <c r="B60" s="456" t="s">
        <v>247</v>
      </c>
      <c r="C60" s="306" t="s">
        <v>221</v>
      </c>
      <c r="D60" s="306" t="s">
        <v>222</v>
      </c>
      <c r="E60" s="301" t="s">
        <v>223</v>
      </c>
      <c r="F60" s="301" t="s">
        <v>224</v>
      </c>
      <c r="G60" s="301" t="s">
        <v>66</v>
      </c>
      <c r="H60" s="301" t="s">
        <v>223</v>
      </c>
      <c r="I60" s="301" t="s">
        <v>224</v>
      </c>
      <c r="J60" s="301" t="s">
        <v>66</v>
      </c>
      <c r="K60" s="301" t="s">
        <v>64</v>
      </c>
      <c r="L60" s="301" t="s">
        <v>223</v>
      </c>
      <c r="M60" s="444" t="s">
        <v>266</v>
      </c>
      <c r="N60" s="282"/>
      <c r="O60" s="301" t="s">
        <v>271</v>
      </c>
      <c r="P60" s="301"/>
      <c r="Q60" s="301"/>
      <c r="R60" s="301"/>
      <c r="S60" s="466"/>
      <c r="T60" s="307" t="s">
        <v>225</v>
      </c>
      <c r="U60" s="421" t="s">
        <v>263</v>
      </c>
      <c r="V60" s="265"/>
    </row>
    <row r="61">
      <c r="A61" s="37"/>
      <c r="B61" s="308"/>
      <c r="C61" s="561">
        <v>1.0</v>
      </c>
      <c r="D61" s="373" t="s">
        <v>167</v>
      </c>
      <c r="E61" s="374">
        <v>12.0</v>
      </c>
      <c r="F61" s="375">
        <v>60.0</v>
      </c>
      <c r="G61" s="384"/>
      <c r="H61" s="376">
        <v>12.0</v>
      </c>
      <c r="I61" s="375">
        <v>60.0</v>
      </c>
      <c r="J61" s="317"/>
      <c r="K61" s="317">
        <v>2.0</v>
      </c>
      <c r="L61" s="209">
        <v>45634.0</v>
      </c>
      <c r="M61" s="100" t="s">
        <v>124</v>
      </c>
      <c r="O61" s="25"/>
      <c r="P61" s="472">
        <v>3101.0</v>
      </c>
      <c r="Q61" s="222"/>
      <c r="R61" s="316"/>
      <c r="S61" s="316"/>
      <c r="T61" s="467">
        <f t="shared" ref="T61:T67" si="5">(E61*F61)+(H61*I61)</f>
        <v>1440</v>
      </c>
      <c r="U61" s="422"/>
      <c r="V61" s="265"/>
    </row>
    <row r="62" ht="33.75" customHeight="1">
      <c r="A62" s="37"/>
      <c r="B62" s="308"/>
      <c r="C62" s="562">
        <v>2.0</v>
      </c>
      <c r="D62" s="377" t="s">
        <v>189</v>
      </c>
      <c r="E62" s="378">
        <v>10.0</v>
      </c>
      <c r="F62" s="379">
        <v>27.5</v>
      </c>
      <c r="G62" s="380"/>
      <c r="H62" s="381">
        <v>12.0</v>
      </c>
      <c r="I62" s="379">
        <v>20.0</v>
      </c>
      <c r="J62" s="339"/>
      <c r="K62" s="335" t="s">
        <v>78</v>
      </c>
      <c r="L62" s="440">
        <v>46001.0</v>
      </c>
      <c r="M62" s="336" t="s">
        <v>97</v>
      </c>
      <c r="O62" s="25"/>
      <c r="P62" s="339">
        <v>3101.0</v>
      </c>
      <c r="Q62" s="436"/>
      <c r="R62" s="338"/>
      <c r="S62" s="338"/>
      <c r="T62" s="467">
        <f t="shared" si="5"/>
        <v>515</v>
      </c>
      <c r="U62" s="422"/>
      <c r="V62" s="265"/>
    </row>
    <row r="63" ht="33.75" customHeight="1">
      <c r="A63" s="37"/>
      <c r="B63" s="308"/>
      <c r="C63" s="561">
        <v>3.0</v>
      </c>
      <c r="D63" s="382" t="s">
        <v>277</v>
      </c>
      <c r="E63" s="374">
        <v>16.0</v>
      </c>
      <c r="F63" s="383">
        <v>60.0</v>
      </c>
      <c r="G63" s="384"/>
      <c r="H63" s="385">
        <v>16.0</v>
      </c>
      <c r="I63" s="383">
        <v>50.0</v>
      </c>
      <c r="J63" s="344"/>
      <c r="K63" s="344" t="s">
        <v>78</v>
      </c>
      <c r="L63" s="437" t="s">
        <v>134</v>
      </c>
      <c r="M63" s="100" t="s">
        <v>97</v>
      </c>
      <c r="O63" s="25"/>
      <c r="P63" s="473">
        <v>3001.0</v>
      </c>
      <c r="Q63" s="209"/>
      <c r="R63" s="346"/>
      <c r="S63" s="346"/>
      <c r="T63" s="467">
        <f t="shared" si="5"/>
        <v>1760</v>
      </c>
      <c r="U63" s="422"/>
      <c r="V63" s="265"/>
    </row>
    <row r="64" ht="33.75" customHeight="1">
      <c r="A64" s="37"/>
      <c r="B64" s="308"/>
      <c r="C64" s="562">
        <v>4.0</v>
      </c>
      <c r="D64" s="377" t="s">
        <v>191</v>
      </c>
      <c r="E64" s="378">
        <v>10.0</v>
      </c>
      <c r="F64" s="379">
        <v>120.0</v>
      </c>
      <c r="G64" s="380"/>
      <c r="H64" s="439">
        <v>9.0</v>
      </c>
      <c r="I64" s="379">
        <v>120.0</v>
      </c>
      <c r="J64" s="339"/>
      <c r="K64" s="339">
        <v>2.0</v>
      </c>
      <c r="L64" s="440">
        <v>45938.0</v>
      </c>
      <c r="M64" s="332"/>
      <c r="N64" s="332"/>
      <c r="O64" s="335"/>
      <c r="P64" s="339">
        <v>3001.0</v>
      </c>
      <c r="Q64" s="459"/>
      <c r="R64" s="338"/>
      <c r="S64" s="338"/>
      <c r="T64" s="467">
        <f t="shared" si="5"/>
        <v>2280</v>
      </c>
      <c r="U64" s="422"/>
      <c r="V64" s="265"/>
    </row>
    <row r="65" ht="33.75" customHeight="1">
      <c r="A65" s="37"/>
      <c r="B65" s="308"/>
      <c r="C65" s="561">
        <v>5.0</v>
      </c>
      <c r="D65" s="382" t="s">
        <v>192</v>
      </c>
      <c r="E65" s="374">
        <v>6.0</v>
      </c>
      <c r="F65" s="383">
        <v>80.0</v>
      </c>
      <c r="G65" s="384"/>
      <c r="H65" s="385">
        <v>8.0</v>
      </c>
      <c r="I65" s="383">
        <v>70.0</v>
      </c>
      <c r="J65" s="344"/>
      <c r="K65" s="344">
        <v>2.0</v>
      </c>
      <c r="L65" s="432">
        <v>45510.0</v>
      </c>
      <c r="M65" s="218"/>
      <c r="O65" s="25"/>
      <c r="P65" s="473"/>
      <c r="Q65" s="239"/>
      <c r="R65" s="346"/>
      <c r="S65" s="346"/>
      <c r="T65" s="467">
        <f t="shared" si="5"/>
        <v>1040</v>
      </c>
      <c r="U65" s="422"/>
      <c r="V65" s="265"/>
    </row>
    <row r="66" ht="33.75" customHeight="1">
      <c r="A66" s="37"/>
      <c r="B66" s="308"/>
      <c r="C66" s="562">
        <v>6.0</v>
      </c>
      <c r="D66" s="331" t="s">
        <v>267</v>
      </c>
      <c r="E66" s="378">
        <v>12.0</v>
      </c>
      <c r="F66" s="379">
        <v>40.0</v>
      </c>
      <c r="G66" s="380"/>
      <c r="H66" s="381">
        <v>8.0</v>
      </c>
      <c r="I66" s="379">
        <v>40.0</v>
      </c>
      <c r="J66" s="339"/>
      <c r="K66" s="339" t="s">
        <v>113</v>
      </c>
      <c r="L66" s="474">
        <v>45999.0</v>
      </c>
      <c r="M66" s="337" t="s">
        <v>97</v>
      </c>
      <c r="O66" s="25"/>
      <c r="P66" s="338">
        <v>3202.0</v>
      </c>
      <c r="Q66" s="424"/>
      <c r="R66" s="338"/>
      <c r="S66" s="338"/>
      <c r="T66" s="467">
        <f t="shared" si="5"/>
        <v>800</v>
      </c>
      <c r="U66" s="422"/>
      <c r="V66" s="265"/>
    </row>
    <row r="67" ht="33.75" customHeight="1">
      <c r="A67" s="37"/>
      <c r="B67" s="361"/>
      <c r="C67" s="561">
        <v>7.0</v>
      </c>
      <c r="D67" s="506"/>
      <c r="E67" s="508"/>
      <c r="F67" s="508"/>
      <c r="G67" s="509"/>
      <c r="H67" s="508"/>
      <c r="I67" s="508"/>
      <c r="J67" s="509"/>
      <c r="K67" s="508"/>
      <c r="L67" s="508"/>
      <c r="M67" s="511"/>
      <c r="O67" s="25"/>
      <c r="P67" s="346"/>
      <c r="Q67" s="239"/>
      <c r="R67" s="346"/>
      <c r="S67" s="261"/>
      <c r="T67" s="467">
        <f t="shared" si="5"/>
        <v>0</v>
      </c>
      <c r="U67" s="422"/>
      <c r="V67" s="37"/>
    </row>
    <row r="68" ht="33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ht="51.0" customHeight="1">
      <c r="A69" s="37"/>
      <c r="B69" s="265"/>
      <c r="C69" s="294" t="s">
        <v>209</v>
      </c>
      <c r="D69" s="295"/>
      <c r="E69" s="296" t="s">
        <v>248</v>
      </c>
      <c r="F69" s="297"/>
      <c r="G69" s="297"/>
      <c r="H69" s="297"/>
      <c r="I69" s="297"/>
      <c r="J69" s="297"/>
      <c r="K69" s="297"/>
      <c r="L69" s="297"/>
      <c r="M69" s="282"/>
      <c r="N69" s="298" t="s">
        <v>211</v>
      </c>
      <c r="O69" s="268"/>
      <c r="P69" s="57"/>
      <c r="Q69" s="286"/>
      <c r="R69" s="268"/>
      <c r="S69" s="57"/>
      <c r="T69" s="292"/>
      <c r="U69" s="265"/>
      <c r="V69" s="265"/>
    </row>
    <row r="70">
      <c r="A70" s="37"/>
      <c r="B70" s="265"/>
      <c r="C70" s="301" t="s">
        <v>214</v>
      </c>
      <c r="D70" s="372">
        <v>46061.0</v>
      </c>
      <c r="E70" s="303" t="s">
        <v>215</v>
      </c>
      <c r="F70" s="22"/>
      <c r="G70" s="28"/>
      <c r="H70" s="304" t="s">
        <v>216</v>
      </c>
      <c r="I70" s="297"/>
      <c r="J70" s="282"/>
      <c r="K70" s="304"/>
      <c r="L70" s="297"/>
      <c r="M70" s="282"/>
      <c r="N70" s="304"/>
      <c r="O70" s="297"/>
      <c r="P70" s="282"/>
      <c r="Q70" s="304"/>
      <c r="R70" s="297"/>
      <c r="S70" s="282"/>
      <c r="T70" s="265"/>
      <c r="U70" s="265"/>
      <c r="V70" s="265"/>
    </row>
    <row r="71">
      <c r="A71" s="37"/>
      <c r="B71" s="470" t="s">
        <v>249</v>
      </c>
      <c r="C71" s="306" t="s">
        <v>221</v>
      </c>
      <c r="D71" s="306" t="s">
        <v>222</v>
      </c>
      <c r="E71" s="301" t="s">
        <v>223</v>
      </c>
      <c r="F71" s="301" t="s">
        <v>224</v>
      </c>
      <c r="G71" s="301" t="s">
        <v>66</v>
      </c>
      <c r="H71" s="301" t="s">
        <v>223</v>
      </c>
      <c r="I71" s="301" t="s">
        <v>224</v>
      </c>
      <c r="J71" s="301" t="s">
        <v>66</v>
      </c>
      <c r="K71" s="301" t="s">
        <v>268</v>
      </c>
      <c r="L71" s="301" t="s">
        <v>269</v>
      </c>
      <c r="M71" s="468" t="s">
        <v>270</v>
      </c>
      <c r="N71" s="282"/>
      <c r="O71" s="301" t="s">
        <v>271</v>
      </c>
      <c r="P71" s="301"/>
      <c r="Q71" s="301"/>
      <c r="R71" s="301"/>
      <c r="S71" s="301"/>
      <c r="T71" s="307" t="s">
        <v>225</v>
      </c>
      <c r="U71" s="421" t="s">
        <v>263</v>
      </c>
      <c r="V71" s="265"/>
    </row>
    <row r="72">
      <c r="A72" s="37"/>
      <c r="B72" s="308"/>
      <c r="C72" s="309">
        <v>1.0</v>
      </c>
      <c r="D72" s="373" t="s">
        <v>130</v>
      </c>
      <c r="E72" s="259">
        <v>12.0</v>
      </c>
      <c r="F72" s="375">
        <v>12.0</v>
      </c>
      <c r="G72" s="384"/>
      <c r="H72" s="376">
        <v>12.0</v>
      </c>
      <c r="I72" s="375">
        <v>12.0</v>
      </c>
      <c r="J72" s="315"/>
      <c r="K72" s="316">
        <v>2.0</v>
      </c>
      <c r="L72" s="236">
        <v>45999.0</v>
      </c>
      <c r="M72" s="345"/>
      <c r="N72" s="25"/>
      <c r="O72" s="316"/>
      <c r="P72" s="316"/>
      <c r="Q72" s="222"/>
      <c r="R72" s="316"/>
      <c r="S72" s="316"/>
      <c r="T72" s="319">
        <f t="shared" ref="T72:T78" si="6">(E72*F72)+(H72*I72)</f>
        <v>288</v>
      </c>
      <c r="U72" s="422"/>
      <c r="V72" s="265"/>
    </row>
    <row r="73">
      <c r="A73" s="37"/>
      <c r="B73" s="308"/>
      <c r="C73" s="330">
        <v>2.0</v>
      </c>
      <c r="D73" s="377" t="s">
        <v>183</v>
      </c>
      <c r="E73" s="423">
        <v>16.0</v>
      </c>
      <c r="F73" s="379">
        <v>12.0</v>
      </c>
      <c r="G73" s="380"/>
      <c r="H73" s="381">
        <v>17.0</v>
      </c>
      <c r="I73" s="379">
        <v>12.0</v>
      </c>
      <c r="J73" s="337"/>
      <c r="K73" s="338" t="s">
        <v>78</v>
      </c>
      <c r="L73" s="436" t="s">
        <v>134</v>
      </c>
      <c r="M73" s="337" t="s">
        <v>73</v>
      </c>
      <c r="N73" s="25"/>
      <c r="O73" s="338">
        <v>3101.0</v>
      </c>
      <c r="P73" s="338"/>
      <c r="Q73" s="436"/>
      <c r="R73" s="338"/>
      <c r="S73" s="338"/>
      <c r="T73" s="319">
        <f t="shared" si="6"/>
        <v>396</v>
      </c>
      <c r="U73" s="422"/>
      <c r="V73" s="265"/>
    </row>
    <row r="74">
      <c r="A74" s="37"/>
      <c r="B74" s="308"/>
      <c r="C74" s="309">
        <v>3.0</v>
      </c>
      <c r="D74" s="382" t="s">
        <v>131</v>
      </c>
      <c r="E74" s="259">
        <v>12.0</v>
      </c>
      <c r="F74" s="383">
        <v>50.0</v>
      </c>
      <c r="H74" s="385">
        <v>9.0</v>
      </c>
      <c r="I74" s="383">
        <v>50.0</v>
      </c>
      <c r="J74" s="345"/>
      <c r="K74" s="346">
        <v>2.0</v>
      </c>
      <c r="L74" s="236">
        <v>46001.0</v>
      </c>
      <c r="M74" s="345"/>
      <c r="N74" s="25"/>
      <c r="O74" s="346"/>
      <c r="P74" s="346"/>
      <c r="Q74" s="209"/>
      <c r="R74" s="346"/>
      <c r="S74" s="346"/>
      <c r="T74" s="319">
        <f t="shared" si="6"/>
        <v>1050</v>
      </c>
      <c r="U74" s="422"/>
      <c r="V74" s="265"/>
    </row>
    <row r="75">
      <c r="A75" s="37"/>
      <c r="B75" s="308"/>
      <c r="C75" s="330">
        <v>4.0</v>
      </c>
      <c r="D75" s="377" t="s">
        <v>106</v>
      </c>
      <c r="E75" s="423">
        <v>10.0</v>
      </c>
      <c r="F75" s="379">
        <v>60.0</v>
      </c>
      <c r="G75" s="380"/>
      <c r="H75" s="381">
        <v>8.0</v>
      </c>
      <c r="I75" s="379">
        <v>60.0</v>
      </c>
      <c r="J75" s="337"/>
      <c r="K75" s="338">
        <v>2.0</v>
      </c>
      <c r="L75" s="459">
        <v>45573.0</v>
      </c>
      <c r="M75" s="337"/>
      <c r="N75" s="25"/>
      <c r="O75" s="338">
        <v>3101.0</v>
      </c>
      <c r="P75" s="338"/>
      <c r="Q75" s="459"/>
      <c r="R75" s="338"/>
      <c r="S75" s="338"/>
      <c r="T75" s="319">
        <f t="shared" si="6"/>
        <v>1080</v>
      </c>
      <c r="U75" s="422"/>
      <c r="V75" s="265"/>
    </row>
    <row r="76">
      <c r="A76" s="37"/>
      <c r="B76" s="308"/>
      <c r="C76" s="309">
        <v>5.0</v>
      </c>
      <c r="D76" s="382" t="s">
        <v>185</v>
      </c>
      <c r="E76" s="244">
        <v>12.0</v>
      </c>
      <c r="F76" s="383">
        <v>80.0</v>
      </c>
      <c r="G76" s="384"/>
      <c r="H76" s="385">
        <v>10.0</v>
      </c>
      <c r="I76" s="383">
        <v>80.0</v>
      </c>
      <c r="J76" s="345"/>
      <c r="K76" s="346">
        <v>2.0</v>
      </c>
      <c r="L76" s="239">
        <v>45636.0</v>
      </c>
      <c r="M76" s="345"/>
      <c r="N76" s="25"/>
      <c r="O76" s="346"/>
      <c r="P76" s="346"/>
      <c r="Q76" s="239"/>
      <c r="R76" s="346"/>
      <c r="S76" s="346"/>
      <c r="T76" s="319">
        <f t="shared" si="6"/>
        <v>1760</v>
      </c>
      <c r="U76" s="422"/>
      <c r="V76" s="265"/>
    </row>
    <row r="77">
      <c r="A77" s="37"/>
      <c r="B77" s="308"/>
      <c r="C77" s="330">
        <v>6.0</v>
      </c>
      <c r="D77" s="331" t="s">
        <v>186</v>
      </c>
      <c r="E77" s="423">
        <v>12.0</v>
      </c>
      <c r="F77" s="379">
        <v>70.0</v>
      </c>
      <c r="G77" s="380"/>
      <c r="H77" s="381">
        <v>12.0</v>
      </c>
      <c r="I77" s="379">
        <v>60.0</v>
      </c>
      <c r="J77" s="337"/>
      <c r="K77" s="338">
        <v>2.0</v>
      </c>
      <c r="L77" s="424">
        <v>46001.0</v>
      </c>
      <c r="M77" s="337"/>
      <c r="N77" s="25"/>
      <c r="O77" s="338"/>
      <c r="P77" s="338"/>
      <c r="Q77" s="424"/>
      <c r="R77" s="338"/>
      <c r="S77" s="338"/>
      <c r="T77" s="319">
        <f t="shared" si="6"/>
        <v>1560</v>
      </c>
      <c r="U77" s="422"/>
      <c r="V77" s="265"/>
    </row>
    <row r="78">
      <c r="A78" s="37"/>
      <c r="B78" s="361"/>
      <c r="C78" s="309">
        <v>7.0</v>
      </c>
      <c r="D78" s="382" t="s">
        <v>187</v>
      </c>
      <c r="E78" s="259">
        <v>12.0</v>
      </c>
      <c r="F78" s="342">
        <v>15.0</v>
      </c>
      <c r="G78" s="318"/>
      <c r="H78" s="343">
        <v>10.0</v>
      </c>
      <c r="I78" s="342">
        <v>15.0</v>
      </c>
      <c r="J78" s="345"/>
      <c r="K78" s="346" t="s">
        <v>78</v>
      </c>
      <c r="L78" s="236">
        <v>45999.0</v>
      </c>
      <c r="M78" s="100" t="s">
        <v>73</v>
      </c>
      <c r="O78" s="261">
        <v>3101.0</v>
      </c>
      <c r="P78" s="342"/>
      <c r="Q78" s="342"/>
      <c r="R78" s="342"/>
      <c r="S78" s="342"/>
      <c r="T78" s="319">
        <f t="shared" si="6"/>
        <v>330</v>
      </c>
      <c r="U78" s="422"/>
      <c r="V78" s="265"/>
    </row>
    <row r="79" ht="40.5" customHeight="1">
      <c r="A79" s="37"/>
      <c r="B79" s="569">
        <v>1.0</v>
      </c>
      <c r="C79" s="265"/>
      <c r="D79" s="265"/>
      <c r="E79" s="265"/>
      <c r="F79" s="265"/>
      <c r="G79" s="265"/>
      <c r="H79" s="265"/>
      <c r="I79" s="265"/>
      <c r="J79" s="265"/>
      <c r="K79" s="292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</row>
    <row r="80">
      <c r="A80" s="37"/>
      <c r="B80" s="265"/>
      <c r="C80" s="294" t="s">
        <v>209</v>
      </c>
      <c r="D80" s="295"/>
      <c r="E80" s="296" t="s">
        <v>233</v>
      </c>
      <c r="F80" s="297"/>
      <c r="G80" s="297"/>
      <c r="H80" s="297"/>
      <c r="I80" s="297"/>
      <c r="J80" s="297"/>
      <c r="K80" s="297"/>
      <c r="L80" s="297"/>
      <c r="M80" s="282"/>
      <c r="N80" s="298" t="s">
        <v>211</v>
      </c>
      <c r="O80" s="268"/>
      <c r="P80" s="57"/>
      <c r="Q80" s="286"/>
      <c r="R80" s="268"/>
      <c r="S80" s="57"/>
      <c r="T80" s="292"/>
      <c r="U80" s="265"/>
      <c r="V80" s="265"/>
    </row>
    <row r="81">
      <c r="A81" s="37"/>
      <c r="B81" s="265"/>
      <c r="C81" s="301" t="s">
        <v>214</v>
      </c>
      <c r="D81" s="372">
        <v>46064.0</v>
      </c>
      <c r="E81" s="303" t="s">
        <v>215</v>
      </c>
      <c r="F81" s="22"/>
      <c r="G81" s="28"/>
      <c r="H81" s="304" t="s">
        <v>216</v>
      </c>
      <c r="I81" s="297"/>
      <c r="J81" s="282"/>
      <c r="K81" s="304"/>
      <c r="L81" s="297"/>
      <c r="M81" s="282"/>
      <c r="N81" s="304"/>
      <c r="O81" s="297"/>
      <c r="P81" s="282"/>
      <c r="Q81" s="304"/>
      <c r="R81" s="297"/>
      <c r="S81" s="282"/>
      <c r="T81" s="265"/>
      <c r="U81" s="265"/>
      <c r="V81" s="265"/>
    </row>
    <row r="82">
      <c r="A82" s="37"/>
      <c r="B82" s="470" t="s">
        <v>251</v>
      </c>
      <c r="C82" s="306" t="s">
        <v>221</v>
      </c>
      <c r="D82" s="306" t="s">
        <v>222</v>
      </c>
      <c r="E82" s="301" t="s">
        <v>223</v>
      </c>
      <c r="F82" s="301" t="s">
        <v>224</v>
      </c>
      <c r="G82" s="301" t="s">
        <v>66</v>
      </c>
      <c r="H82" s="301" t="s">
        <v>223</v>
      </c>
      <c r="I82" s="301" t="s">
        <v>224</v>
      </c>
      <c r="J82" s="301" t="s">
        <v>66</v>
      </c>
      <c r="K82" s="301" t="s">
        <v>268</v>
      </c>
      <c r="L82" s="301" t="s">
        <v>269</v>
      </c>
      <c r="M82" s="468" t="s">
        <v>270</v>
      </c>
      <c r="N82" s="297"/>
      <c r="O82" s="282"/>
      <c r="P82" s="301" t="s">
        <v>271</v>
      </c>
      <c r="Q82" s="468"/>
      <c r="R82" s="297"/>
      <c r="S82" s="282"/>
      <c r="T82" s="307" t="s">
        <v>225</v>
      </c>
      <c r="U82" s="421" t="s">
        <v>263</v>
      </c>
      <c r="V82" s="265"/>
    </row>
    <row r="83">
      <c r="A83" s="37"/>
      <c r="B83" s="308"/>
      <c r="C83" s="309">
        <v>1.0</v>
      </c>
      <c r="D83" s="360" t="s">
        <v>104</v>
      </c>
      <c r="E83" s="510">
        <v>12.0</v>
      </c>
      <c r="F83" s="508">
        <v>10.0</v>
      </c>
      <c r="G83" s="509"/>
      <c r="H83" s="510">
        <v>12.0</v>
      </c>
      <c r="I83" s="508">
        <v>10.0</v>
      </c>
      <c r="J83" s="509"/>
      <c r="K83" s="508">
        <v>2.0</v>
      </c>
      <c r="L83" s="524">
        <v>45634.0</v>
      </c>
      <c r="M83" s="537" t="s">
        <v>124</v>
      </c>
      <c r="O83" s="25"/>
      <c r="P83" s="472"/>
      <c r="Q83" s="472"/>
      <c r="R83" s="472"/>
      <c r="S83" s="472"/>
      <c r="T83" s="467">
        <f t="shared" ref="T83:T89" si="7">(E83*F83)+(H83*I83)</f>
        <v>240</v>
      </c>
      <c r="U83" s="422"/>
      <c r="V83" s="265"/>
    </row>
    <row r="84">
      <c r="A84" s="37"/>
      <c r="B84" s="308"/>
      <c r="C84" s="330">
        <v>2.0</v>
      </c>
      <c r="D84" s="358" t="s">
        <v>145</v>
      </c>
      <c r="E84" s="520">
        <v>10.0</v>
      </c>
      <c r="F84" s="563">
        <v>80.0</v>
      </c>
      <c r="G84" s="518"/>
      <c r="H84" s="520">
        <v>8.0</v>
      </c>
      <c r="I84" s="563">
        <v>80.0</v>
      </c>
      <c r="J84" s="518"/>
      <c r="K84" s="517">
        <v>2.0</v>
      </c>
      <c r="L84" s="539">
        <v>45938.0</v>
      </c>
      <c r="M84" s="527"/>
      <c r="O84" s="25"/>
      <c r="P84" s="339"/>
      <c r="Q84" s="339"/>
      <c r="R84" s="339"/>
      <c r="S84" s="339"/>
      <c r="T84" s="467">
        <f t="shared" si="7"/>
        <v>1440</v>
      </c>
      <c r="U84" s="422"/>
      <c r="V84" s="265"/>
    </row>
    <row r="85">
      <c r="A85" s="37"/>
      <c r="B85" s="308"/>
      <c r="C85" s="309">
        <v>3.0</v>
      </c>
      <c r="D85" s="360" t="s">
        <v>146</v>
      </c>
      <c r="E85" s="523">
        <v>8.0</v>
      </c>
      <c r="F85" s="572">
        <v>28.0</v>
      </c>
      <c r="G85" s="509"/>
      <c r="H85" s="510">
        <v>7.0</v>
      </c>
      <c r="I85" s="572">
        <v>28.0</v>
      </c>
      <c r="J85" s="509"/>
      <c r="K85" s="508">
        <v>2.0</v>
      </c>
      <c r="L85" s="524">
        <v>45509.0</v>
      </c>
      <c r="M85" s="187"/>
      <c r="O85" s="25"/>
      <c r="P85" s="473"/>
      <c r="Q85" s="473"/>
      <c r="R85" s="473"/>
      <c r="S85" s="473"/>
      <c r="T85" s="467">
        <f t="shared" si="7"/>
        <v>420</v>
      </c>
      <c r="U85" s="422"/>
      <c r="V85" s="265"/>
    </row>
    <row r="86">
      <c r="A86" s="37"/>
      <c r="B86" s="308"/>
      <c r="C86" s="330">
        <v>4.0</v>
      </c>
      <c r="D86" s="358" t="s">
        <v>76</v>
      </c>
      <c r="E86" s="564">
        <v>12.0</v>
      </c>
      <c r="F86" s="563">
        <v>10.0</v>
      </c>
      <c r="G86" s="518"/>
      <c r="H86" s="564">
        <v>10.0</v>
      </c>
      <c r="I86" s="563">
        <v>10.0</v>
      </c>
      <c r="J86" s="518"/>
      <c r="K86" s="517" t="s">
        <v>78</v>
      </c>
      <c r="L86" s="517" t="s">
        <v>108</v>
      </c>
      <c r="M86" s="541" t="s">
        <v>97</v>
      </c>
      <c r="O86" s="25"/>
      <c r="P86" s="542">
        <v>3101.0</v>
      </c>
      <c r="Q86" s="339"/>
      <c r="R86" s="339"/>
      <c r="S86" s="339"/>
      <c r="T86" s="467">
        <f t="shared" si="7"/>
        <v>220</v>
      </c>
      <c r="U86" s="422"/>
      <c r="V86" s="265"/>
    </row>
    <row r="87">
      <c r="A87" s="37"/>
      <c r="B87" s="308"/>
      <c r="C87" s="309">
        <v>5.0</v>
      </c>
      <c r="D87" s="341" t="s">
        <v>147</v>
      </c>
      <c r="E87" s="510">
        <v>14.0</v>
      </c>
      <c r="F87" s="572">
        <v>5.0</v>
      </c>
      <c r="G87" s="509"/>
      <c r="H87" s="510">
        <v>16.0</v>
      </c>
      <c r="I87" s="508">
        <v>5.0</v>
      </c>
      <c r="J87" s="509"/>
      <c r="K87" s="508" t="s">
        <v>78</v>
      </c>
      <c r="L87" s="507" t="s">
        <v>134</v>
      </c>
      <c r="M87" s="537" t="s">
        <v>73</v>
      </c>
      <c r="O87" s="25"/>
      <c r="P87" s="543">
        <v>3101.0</v>
      </c>
      <c r="Q87" s="473"/>
      <c r="R87" s="473"/>
      <c r="S87" s="473"/>
      <c r="T87" s="467">
        <f t="shared" si="7"/>
        <v>150</v>
      </c>
      <c r="U87" s="422"/>
      <c r="V87" s="265"/>
    </row>
    <row r="88">
      <c r="A88" s="37"/>
      <c r="B88" s="308"/>
      <c r="C88" s="330">
        <v>6.0</v>
      </c>
      <c r="D88" s="358" t="s">
        <v>149</v>
      </c>
      <c r="E88" s="520">
        <v>12.0</v>
      </c>
      <c r="F88" s="563">
        <v>22.5</v>
      </c>
      <c r="G88" s="518"/>
      <c r="H88" s="520">
        <v>12.0</v>
      </c>
      <c r="I88" s="563">
        <v>22.5</v>
      </c>
      <c r="J88" s="518"/>
      <c r="K88" s="517">
        <v>2.0</v>
      </c>
      <c r="L88" s="539">
        <v>45999.0</v>
      </c>
      <c r="M88" s="527"/>
      <c r="O88" s="25"/>
      <c r="P88" s="542">
        <v>3101.0</v>
      </c>
      <c r="Q88" s="338"/>
      <c r="R88" s="338"/>
      <c r="S88" s="338"/>
      <c r="T88" s="467">
        <f t="shared" si="7"/>
        <v>540</v>
      </c>
      <c r="U88" s="422"/>
      <c r="V88" s="265"/>
    </row>
    <row r="89">
      <c r="A89" s="37"/>
      <c r="B89" s="361"/>
      <c r="C89" s="309">
        <v>7.0</v>
      </c>
      <c r="D89" s="360" t="s">
        <v>151</v>
      </c>
      <c r="E89" s="508">
        <v>12.0</v>
      </c>
      <c r="F89" s="508">
        <v>5.0</v>
      </c>
      <c r="G89" s="509"/>
      <c r="H89" s="508">
        <v>16.0</v>
      </c>
      <c r="I89" s="508">
        <v>4.5</v>
      </c>
      <c r="J89" s="509"/>
      <c r="K89" s="508" t="s">
        <v>78</v>
      </c>
      <c r="L89" s="508" t="s">
        <v>134</v>
      </c>
      <c r="M89" s="511" t="s">
        <v>73</v>
      </c>
      <c r="O89" s="25"/>
      <c r="P89" s="543">
        <v>3200.0</v>
      </c>
      <c r="Q89" s="473"/>
      <c r="R89" s="473"/>
      <c r="S89" s="473"/>
      <c r="T89" s="467">
        <f t="shared" si="7"/>
        <v>132</v>
      </c>
      <c r="U89" s="422"/>
      <c r="V89" s="265"/>
    </row>
    <row r="90" ht="27.0" customHeight="1">
      <c r="A90" s="37"/>
      <c r="B90" s="265"/>
      <c r="C90" s="265"/>
      <c r="D90" s="265"/>
      <c r="E90" s="265"/>
      <c r="F90" s="265"/>
      <c r="G90" s="265"/>
      <c r="H90" s="265"/>
      <c r="I90" s="265"/>
      <c r="J90" s="29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</row>
    <row r="91">
      <c r="A91" s="37"/>
      <c r="B91" s="265"/>
      <c r="C91" s="294" t="s">
        <v>209</v>
      </c>
      <c r="D91" s="295"/>
      <c r="E91" s="296" t="s">
        <v>210</v>
      </c>
      <c r="F91" s="297"/>
      <c r="G91" s="297"/>
      <c r="H91" s="297"/>
      <c r="I91" s="297"/>
      <c r="J91" s="297"/>
      <c r="K91" s="297"/>
      <c r="L91" s="297"/>
      <c r="M91" s="282"/>
      <c r="N91" s="298" t="s">
        <v>211</v>
      </c>
      <c r="O91" s="268"/>
      <c r="P91" s="57"/>
      <c r="Q91" s="286"/>
      <c r="R91" s="268"/>
      <c r="S91" s="57"/>
      <c r="T91" s="292"/>
      <c r="U91" s="265"/>
      <c r="V91" s="265"/>
    </row>
    <row r="92">
      <c r="A92" s="37"/>
      <c r="B92" s="265"/>
      <c r="C92" s="301" t="s">
        <v>214</v>
      </c>
      <c r="D92" s="372">
        <v>46065.0</v>
      </c>
      <c r="E92" s="303" t="s">
        <v>215</v>
      </c>
      <c r="F92" s="22"/>
      <c r="G92" s="28"/>
      <c r="H92" s="304" t="s">
        <v>216</v>
      </c>
      <c r="I92" s="297"/>
      <c r="J92" s="282"/>
      <c r="K92" s="304"/>
      <c r="L92" s="297"/>
      <c r="M92" s="282"/>
      <c r="N92" s="304"/>
      <c r="O92" s="297"/>
      <c r="P92" s="282"/>
      <c r="Q92" s="304"/>
      <c r="R92" s="297"/>
      <c r="S92" s="282"/>
      <c r="T92" s="265"/>
      <c r="U92" s="265"/>
      <c r="V92" s="265"/>
    </row>
    <row r="93">
      <c r="A93" s="37"/>
      <c r="B93" s="470" t="s">
        <v>255</v>
      </c>
      <c r="C93" s="306" t="s">
        <v>221</v>
      </c>
      <c r="D93" s="306" t="s">
        <v>222</v>
      </c>
      <c r="E93" s="301" t="s">
        <v>223</v>
      </c>
      <c r="F93" s="301" t="s">
        <v>224</v>
      </c>
      <c r="G93" s="301" t="s">
        <v>66</v>
      </c>
      <c r="H93" s="301" t="s">
        <v>223</v>
      </c>
      <c r="I93" s="301" t="s">
        <v>224</v>
      </c>
      <c r="J93" s="301" t="s">
        <v>66</v>
      </c>
      <c r="K93" s="301" t="s">
        <v>268</v>
      </c>
      <c r="L93" s="301" t="s">
        <v>269</v>
      </c>
      <c r="M93" s="468" t="s">
        <v>270</v>
      </c>
      <c r="N93" s="297"/>
      <c r="O93" s="282"/>
      <c r="P93" s="301" t="s">
        <v>271</v>
      </c>
      <c r="Q93" s="301"/>
      <c r="R93" s="301"/>
      <c r="S93" s="301"/>
      <c r="T93" s="307" t="s">
        <v>225</v>
      </c>
      <c r="U93" s="421" t="s">
        <v>263</v>
      </c>
      <c r="V93" s="265"/>
    </row>
    <row r="94">
      <c r="A94" s="37"/>
      <c r="B94" s="308"/>
      <c r="C94" s="309">
        <v>1.0</v>
      </c>
      <c r="D94" s="360" t="s">
        <v>167</v>
      </c>
      <c r="E94" s="507">
        <v>16.0</v>
      </c>
      <c r="F94" s="508">
        <v>55.0</v>
      </c>
      <c r="G94" s="509"/>
      <c r="H94" s="507">
        <v>20.0</v>
      </c>
      <c r="I94" s="510">
        <v>50.0</v>
      </c>
      <c r="J94" s="509"/>
      <c r="K94" s="508">
        <v>2.0</v>
      </c>
      <c r="L94" s="507" t="s">
        <v>134</v>
      </c>
      <c r="M94" s="537" t="s">
        <v>124</v>
      </c>
      <c r="O94" s="25"/>
      <c r="P94" s="314">
        <v>3101.0</v>
      </c>
      <c r="Q94" s="318"/>
      <c r="R94" s="316"/>
      <c r="S94" s="318"/>
      <c r="T94" s="319">
        <f t="shared" ref="T94:T99" si="8">(E94*F94)+(H94*I94)</f>
        <v>1880</v>
      </c>
      <c r="U94" s="422"/>
      <c r="V94" s="265"/>
    </row>
    <row r="95" ht="33.75" customHeight="1">
      <c r="A95" s="37"/>
      <c r="B95" s="308"/>
      <c r="C95" s="330">
        <v>2.0</v>
      </c>
      <c r="D95" s="358" t="s">
        <v>169</v>
      </c>
      <c r="E95" s="516">
        <v>14.0</v>
      </c>
      <c r="F95" s="517">
        <v>15.0</v>
      </c>
      <c r="G95" s="518"/>
      <c r="H95" s="519">
        <v>18.0</v>
      </c>
      <c r="I95" s="520">
        <v>15.0</v>
      </c>
      <c r="J95" s="518"/>
      <c r="K95" s="517" t="s">
        <v>78</v>
      </c>
      <c r="L95" s="519" t="s">
        <v>134</v>
      </c>
      <c r="M95" s="521" t="s">
        <v>73</v>
      </c>
      <c r="O95" s="25"/>
      <c r="P95" s="335">
        <v>3101.0</v>
      </c>
      <c r="Q95" s="336"/>
      <c r="R95" s="338"/>
      <c r="S95" s="336"/>
      <c r="T95" s="319">
        <f t="shared" si="8"/>
        <v>480</v>
      </c>
      <c r="U95" s="422"/>
      <c r="V95" s="265"/>
    </row>
    <row r="96">
      <c r="A96" s="37"/>
      <c r="B96" s="308"/>
      <c r="C96" s="309">
        <v>3.0</v>
      </c>
      <c r="D96" s="360" t="s">
        <v>170</v>
      </c>
      <c r="E96" s="507">
        <v>8.0</v>
      </c>
      <c r="F96" s="572">
        <v>80.0</v>
      </c>
      <c r="G96" s="509"/>
      <c r="H96" s="507">
        <v>8.0</v>
      </c>
      <c r="I96" s="523">
        <v>80.0</v>
      </c>
      <c r="J96" s="509"/>
      <c r="K96" s="508">
        <v>2.0</v>
      </c>
      <c r="L96" s="524">
        <v>45510.0</v>
      </c>
      <c r="M96" s="187"/>
      <c r="O96" s="25"/>
      <c r="P96" s="344"/>
      <c r="Q96" s="318"/>
      <c r="R96" s="346"/>
      <c r="S96" s="318"/>
      <c r="T96" s="319">
        <f t="shared" si="8"/>
        <v>1280</v>
      </c>
      <c r="U96" s="422"/>
      <c r="V96" s="265"/>
    </row>
    <row r="97" ht="34.5" customHeight="1">
      <c r="A97" s="37"/>
      <c r="B97" s="308"/>
      <c r="C97" s="330">
        <v>4.0</v>
      </c>
      <c r="D97" s="358" t="s">
        <v>171</v>
      </c>
      <c r="E97" s="519">
        <v>10.0</v>
      </c>
      <c r="F97" s="563">
        <v>180.0</v>
      </c>
      <c r="G97" s="518"/>
      <c r="H97" s="519">
        <v>10.0</v>
      </c>
      <c r="I97" s="564">
        <v>180.0</v>
      </c>
      <c r="J97" s="518"/>
      <c r="K97" s="517">
        <v>2.0</v>
      </c>
      <c r="L97" s="526">
        <v>45573.0</v>
      </c>
      <c r="M97" s="527"/>
      <c r="O97" s="25"/>
      <c r="P97" s="339"/>
      <c r="Q97" s="336"/>
      <c r="R97" s="338"/>
      <c r="S97" s="336"/>
      <c r="T97" s="319">
        <f t="shared" si="8"/>
        <v>3600</v>
      </c>
      <c r="U97" s="422"/>
      <c r="V97" s="265"/>
    </row>
    <row r="98">
      <c r="A98" s="37"/>
      <c r="B98" s="308"/>
      <c r="C98" s="309">
        <v>5.0</v>
      </c>
      <c r="D98" s="341" t="s">
        <v>172</v>
      </c>
      <c r="E98" s="529">
        <v>12.0</v>
      </c>
      <c r="F98" s="508">
        <v>70.0</v>
      </c>
      <c r="G98" s="509"/>
      <c r="H98" s="529">
        <v>14.0</v>
      </c>
      <c r="I98" s="510">
        <v>70.0</v>
      </c>
      <c r="J98" s="509"/>
      <c r="K98" s="508" t="s">
        <v>78</v>
      </c>
      <c r="L98" s="530">
        <v>45636.0</v>
      </c>
      <c r="M98" s="537" t="s">
        <v>73</v>
      </c>
      <c r="O98" s="25"/>
      <c r="P98" s="344"/>
      <c r="Q98" s="318"/>
      <c r="R98" s="346"/>
      <c r="S98" s="318"/>
      <c r="T98" s="319">
        <f t="shared" si="8"/>
        <v>1820</v>
      </c>
      <c r="U98" s="422"/>
      <c r="V98" s="265"/>
    </row>
    <row r="99">
      <c r="A99" s="37"/>
      <c r="B99" s="361"/>
      <c r="C99" s="330">
        <v>6.0</v>
      </c>
      <c r="D99" s="358" t="s">
        <v>174</v>
      </c>
      <c r="E99" s="519">
        <v>12.0</v>
      </c>
      <c r="F99" s="517">
        <v>22.5</v>
      </c>
      <c r="G99" s="518"/>
      <c r="H99" s="519">
        <v>10.0</v>
      </c>
      <c r="I99" s="520">
        <v>22.5</v>
      </c>
      <c r="J99" s="518"/>
      <c r="K99" s="517">
        <v>2.0</v>
      </c>
      <c r="L99" s="526">
        <v>45999.0</v>
      </c>
      <c r="M99" s="527"/>
      <c r="O99" s="25"/>
      <c r="P99" s="335">
        <v>3100.0</v>
      </c>
      <c r="Q99" s="462"/>
      <c r="R99" s="462"/>
      <c r="S99" s="462"/>
      <c r="T99" s="319">
        <f t="shared" si="8"/>
        <v>495</v>
      </c>
      <c r="U99" s="422"/>
      <c r="V99" s="265"/>
    </row>
    <row r="100" ht="31.5" customHeight="1">
      <c r="A100" s="37"/>
      <c r="B100" s="265"/>
      <c r="C100" s="309">
        <v>7.0</v>
      </c>
      <c r="D100" s="360"/>
      <c r="E100" s="259"/>
      <c r="F100" s="383"/>
      <c r="G100" s="318"/>
      <c r="H100" s="343"/>
      <c r="I100" s="342"/>
      <c r="J100" s="344"/>
      <c r="K100" s="481"/>
      <c r="L100" s="566"/>
      <c r="M100" s="100"/>
      <c r="O100" s="25"/>
      <c r="P100" s="472"/>
      <c r="Q100" s="277"/>
      <c r="R100" s="277"/>
      <c r="S100" s="277"/>
      <c r="T100" s="292"/>
      <c r="U100" s="265"/>
      <c r="V100" s="265"/>
    </row>
    <row r="101" ht="26.25" customHeight="1">
      <c r="A101" s="37"/>
      <c r="B101" s="265"/>
      <c r="C101" s="277"/>
      <c r="D101" s="277"/>
      <c r="E101" s="570"/>
      <c r="F101" s="570"/>
      <c r="G101" s="570"/>
      <c r="H101" s="571"/>
      <c r="I101" s="571"/>
      <c r="J101" s="571"/>
      <c r="K101" s="571"/>
      <c r="L101" s="571"/>
      <c r="M101" s="571"/>
      <c r="N101" s="277"/>
      <c r="O101" s="277"/>
      <c r="P101" s="277"/>
      <c r="Q101" s="277"/>
      <c r="R101" s="277"/>
      <c r="S101" s="277"/>
      <c r="T101" s="292"/>
      <c r="U101" s="265"/>
      <c r="V101" s="265"/>
    </row>
    <row r="102">
      <c r="A102" s="37"/>
      <c r="B102" s="265"/>
      <c r="C102" s="294" t="s">
        <v>209</v>
      </c>
      <c r="D102" s="295"/>
      <c r="E102" s="296" t="s">
        <v>241</v>
      </c>
      <c r="F102" s="297"/>
      <c r="G102" s="297"/>
      <c r="H102" s="297"/>
      <c r="I102" s="297"/>
      <c r="J102" s="297"/>
      <c r="K102" s="297"/>
      <c r="L102" s="297"/>
      <c r="M102" s="282"/>
      <c r="N102" s="298" t="s">
        <v>211</v>
      </c>
      <c r="O102" s="268"/>
      <c r="P102" s="57"/>
      <c r="Q102" s="286"/>
      <c r="R102" s="268"/>
      <c r="S102" s="57"/>
      <c r="T102" s="292"/>
      <c r="U102" s="265"/>
      <c r="V102" s="265"/>
    </row>
    <row r="103">
      <c r="A103" s="37"/>
      <c r="B103" s="265"/>
      <c r="C103" s="301" t="s">
        <v>214</v>
      </c>
      <c r="D103" s="372">
        <v>46066.0</v>
      </c>
      <c r="E103" s="303" t="s">
        <v>215</v>
      </c>
      <c r="F103" s="22"/>
      <c r="G103" s="28"/>
      <c r="H103" s="304" t="s">
        <v>216</v>
      </c>
      <c r="I103" s="297"/>
      <c r="J103" s="282"/>
      <c r="K103" s="304"/>
      <c r="L103" s="297"/>
      <c r="M103" s="282"/>
      <c r="N103" s="304"/>
      <c r="O103" s="297"/>
      <c r="P103" s="282"/>
      <c r="Q103" s="304"/>
      <c r="R103" s="297"/>
      <c r="S103" s="282"/>
      <c r="T103" s="265"/>
      <c r="U103" s="265"/>
      <c r="V103" s="265"/>
    </row>
    <row r="104">
      <c r="A104" s="37"/>
      <c r="B104" s="470" t="s">
        <v>256</v>
      </c>
      <c r="C104" s="306" t="s">
        <v>221</v>
      </c>
      <c r="D104" s="306" t="s">
        <v>222</v>
      </c>
      <c r="E104" s="301" t="s">
        <v>223</v>
      </c>
      <c r="F104" s="301" t="s">
        <v>224</v>
      </c>
      <c r="G104" s="301" t="s">
        <v>66</v>
      </c>
      <c r="H104" s="301" t="s">
        <v>223</v>
      </c>
      <c r="I104" s="301" t="s">
        <v>224</v>
      </c>
      <c r="J104" s="301" t="s">
        <v>66</v>
      </c>
      <c r="K104" s="301" t="s">
        <v>268</v>
      </c>
      <c r="L104" s="301" t="s">
        <v>269</v>
      </c>
      <c r="M104" s="468" t="s">
        <v>270</v>
      </c>
      <c r="N104" s="282"/>
      <c r="O104" s="301" t="s">
        <v>271</v>
      </c>
      <c r="P104" s="301"/>
      <c r="Q104" s="301"/>
      <c r="R104" s="301"/>
      <c r="S104" s="301"/>
      <c r="T104" s="307" t="s">
        <v>225</v>
      </c>
      <c r="U104" s="421" t="s">
        <v>263</v>
      </c>
      <c r="V104" s="265"/>
    </row>
    <row r="105">
      <c r="A105" s="37"/>
      <c r="B105" s="308"/>
      <c r="C105" s="309">
        <v>1.0</v>
      </c>
      <c r="D105" s="360" t="s">
        <v>154</v>
      </c>
      <c r="E105" s="413">
        <v>10.0</v>
      </c>
      <c r="F105" s="442">
        <v>20.0</v>
      </c>
      <c r="G105" s="414"/>
      <c r="H105" s="413">
        <v>10.0</v>
      </c>
      <c r="I105" s="442">
        <v>20.0</v>
      </c>
      <c r="J105" s="317"/>
      <c r="K105" s="312">
        <v>2.0</v>
      </c>
      <c r="L105" s="209">
        <v>45573.0</v>
      </c>
      <c r="M105" s="218"/>
      <c r="N105" s="218"/>
      <c r="O105" s="316"/>
      <c r="P105" s="317"/>
      <c r="Q105" s="318"/>
      <c r="R105" s="316"/>
      <c r="S105" s="318"/>
      <c r="T105" s="467">
        <f t="shared" ref="T105:T110" si="9">(E105*F105)+(H105*I105)</f>
        <v>400</v>
      </c>
      <c r="U105" s="422"/>
      <c r="V105" s="265"/>
    </row>
    <row r="106">
      <c r="A106" s="37"/>
      <c r="B106" s="308"/>
      <c r="C106" s="330">
        <v>2.0</v>
      </c>
      <c r="D106" s="358" t="s">
        <v>155</v>
      </c>
      <c r="E106" s="427">
        <v>12.0</v>
      </c>
      <c r="F106" s="427">
        <v>20.0</v>
      </c>
      <c r="G106" s="416"/>
      <c r="H106" s="427">
        <v>11.0</v>
      </c>
      <c r="I106" s="427">
        <v>20.0</v>
      </c>
      <c r="J106" s="339"/>
      <c r="K106" s="333" t="s">
        <v>78</v>
      </c>
      <c r="L106" s="459">
        <v>45636.0</v>
      </c>
      <c r="M106" s="455" t="s">
        <v>73</v>
      </c>
      <c r="O106" s="338"/>
      <c r="P106" s="339"/>
      <c r="Q106" s="336"/>
      <c r="R106" s="338"/>
      <c r="S106" s="336"/>
      <c r="T106" s="467">
        <f t="shared" si="9"/>
        <v>460</v>
      </c>
      <c r="U106" s="422"/>
      <c r="V106" s="265"/>
    </row>
    <row r="107">
      <c r="A107" s="37"/>
      <c r="B107" s="308"/>
      <c r="C107" s="309">
        <v>3.0</v>
      </c>
      <c r="D107" s="360" t="s">
        <v>156</v>
      </c>
      <c r="E107" s="428">
        <v>8.0</v>
      </c>
      <c r="F107" s="428">
        <v>60.0</v>
      </c>
      <c r="G107" s="418"/>
      <c r="H107" s="417">
        <v>8.0</v>
      </c>
      <c r="I107" s="428">
        <v>60.0</v>
      </c>
      <c r="J107" s="344"/>
      <c r="K107" s="342">
        <v>2.0</v>
      </c>
      <c r="L107" s="236">
        <v>45875.0</v>
      </c>
      <c r="M107" s="218"/>
      <c r="N107" s="218"/>
      <c r="O107" s="346"/>
      <c r="P107" s="344"/>
      <c r="Q107" s="318"/>
      <c r="R107" s="346"/>
      <c r="S107" s="318"/>
      <c r="T107" s="467">
        <f t="shared" si="9"/>
        <v>960</v>
      </c>
      <c r="U107" s="422"/>
      <c r="V107" s="265"/>
    </row>
    <row r="108">
      <c r="A108" s="37"/>
      <c r="B108" s="308"/>
      <c r="C108" s="330">
        <v>4.0</v>
      </c>
      <c r="D108" s="358" t="s">
        <v>159</v>
      </c>
      <c r="E108" s="415">
        <v>12.0</v>
      </c>
      <c r="F108" s="427">
        <v>65.0</v>
      </c>
      <c r="G108" s="416"/>
      <c r="H108" s="427">
        <v>10.0</v>
      </c>
      <c r="I108" s="427">
        <v>65.0</v>
      </c>
      <c r="J108" s="339"/>
      <c r="K108" s="333">
        <v>2.0</v>
      </c>
      <c r="L108" s="459">
        <v>45636.0</v>
      </c>
      <c r="M108" s="462"/>
      <c r="N108" s="462"/>
      <c r="O108" s="338"/>
      <c r="P108" s="339"/>
      <c r="Q108" s="336"/>
      <c r="R108" s="338"/>
      <c r="S108" s="336"/>
      <c r="T108" s="467">
        <f t="shared" si="9"/>
        <v>1430</v>
      </c>
      <c r="U108" s="422"/>
      <c r="V108" s="265"/>
    </row>
    <row r="109">
      <c r="A109" s="37"/>
      <c r="B109" s="308"/>
      <c r="C109" s="309">
        <v>5.0</v>
      </c>
      <c r="D109" s="341" t="s">
        <v>275</v>
      </c>
      <c r="E109" s="428">
        <v>10.0</v>
      </c>
      <c r="F109" s="428">
        <v>55.0</v>
      </c>
      <c r="G109" s="418"/>
      <c r="H109" s="428">
        <v>10.0</v>
      </c>
      <c r="I109" s="428">
        <v>55.0</v>
      </c>
      <c r="J109" s="344"/>
      <c r="K109" s="342">
        <v>2.0</v>
      </c>
      <c r="L109" s="463">
        <v>45938.0</v>
      </c>
      <c r="M109" s="241"/>
      <c r="N109" s="241"/>
      <c r="O109" s="346"/>
      <c r="P109" s="344"/>
      <c r="Q109" s="318"/>
      <c r="R109" s="346"/>
      <c r="S109" s="318"/>
      <c r="T109" s="467">
        <f t="shared" si="9"/>
        <v>1100</v>
      </c>
      <c r="U109" s="422"/>
      <c r="V109" s="265"/>
    </row>
    <row r="110">
      <c r="A110" s="37"/>
      <c r="B110" s="361"/>
      <c r="C110" s="330">
        <v>6.0</v>
      </c>
      <c r="D110" s="358" t="s">
        <v>107</v>
      </c>
      <c r="E110" s="427">
        <v>14.0</v>
      </c>
      <c r="F110" s="415">
        <v>10.0</v>
      </c>
      <c r="G110" s="419"/>
      <c r="H110" s="427">
        <v>16.0</v>
      </c>
      <c r="I110" s="489">
        <v>45784.0</v>
      </c>
      <c r="J110" s="339"/>
      <c r="K110" s="338" t="s">
        <v>78</v>
      </c>
      <c r="L110" s="436" t="s">
        <v>134</v>
      </c>
      <c r="M110" s="455" t="s">
        <v>73</v>
      </c>
      <c r="O110" s="338">
        <v>3100.0</v>
      </c>
      <c r="P110" s="462"/>
      <c r="Q110" s="462"/>
      <c r="R110" s="462"/>
      <c r="S110" s="462"/>
      <c r="T110" s="573">
        <f t="shared" si="9"/>
        <v>732684</v>
      </c>
      <c r="U110" s="422"/>
      <c r="V110" s="265"/>
    </row>
    <row r="111" ht="33.0" customHeight="1">
      <c r="A111" s="37"/>
      <c r="B111" s="37"/>
      <c r="C111" s="309">
        <v>7.0</v>
      </c>
      <c r="D111" s="360" t="s">
        <v>163</v>
      </c>
      <c r="E111" s="428">
        <v>14.0</v>
      </c>
      <c r="F111" s="428">
        <v>5.0</v>
      </c>
      <c r="G111" s="420"/>
      <c r="H111" s="428">
        <v>16.0</v>
      </c>
      <c r="I111" s="428">
        <v>5.0</v>
      </c>
      <c r="J111" s="344"/>
      <c r="K111" s="342" t="s">
        <v>78</v>
      </c>
      <c r="L111" s="244" t="s">
        <v>134</v>
      </c>
      <c r="M111" s="97" t="s">
        <v>73</v>
      </c>
      <c r="O111" s="346">
        <v>3101.0</v>
      </c>
      <c r="P111" s="344"/>
      <c r="Q111" s="318"/>
      <c r="R111" s="346"/>
      <c r="S111" s="318"/>
      <c r="T111" s="37"/>
      <c r="U111" s="37"/>
      <c r="V111" s="37"/>
    </row>
    <row r="112" ht="36.0" customHeight="1">
      <c r="A112" s="37"/>
      <c r="B112" s="265"/>
      <c r="C112" s="277"/>
      <c r="D112" s="277"/>
      <c r="E112" s="565"/>
      <c r="F112" s="565"/>
      <c r="G112" s="565"/>
      <c r="H112" s="565"/>
      <c r="I112" s="565"/>
      <c r="J112" s="565"/>
      <c r="K112" s="488"/>
      <c r="L112" s="277"/>
      <c r="M112" s="271"/>
      <c r="N112" s="277"/>
      <c r="O112" s="277"/>
      <c r="P112" s="277"/>
      <c r="Q112" s="277"/>
      <c r="R112" s="277"/>
      <c r="S112" s="277"/>
      <c r="T112" s="292"/>
      <c r="U112" s="265"/>
      <c r="V112" s="265"/>
    </row>
    <row r="113">
      <c r="A113" s="37"/>
      <c r="B113" s="265"/>
      <c r="C113" s="294" t="s">
        <v>209</v>
      </c>
      <c r="D113" s="295"/>
      <c r="E113" s="296" t="s">
        <v>257</v>
      </c>
      <c r="F113" s="297"/>
      <c r="G113" s="297"/>
      <c r="H113" s="297"/>
      <c r="I113" s="297"/>
      <c r="J113" s="297"/>
      <c r="K113" s="297"/>
      <c r="L113" s="297"/>
      <c r="M113" s="282"/>
      <c r="N113" s="298" t="s">
        <v>211</v>
      </c>
      <c r="O113" s="268"/>
      <c r="P113" s="57"/>
      <c r="Q113" s="286"/>
      <c r="R113" s="268"/>
      <c r="S113" s="57"/>
      <c r="T113" s="292"/>
      <c r="U113" s="265"/>
      <c r="V113" s="265"/>
    </row>
    <row r="114" ht="48.0" customHeight="1">
      <c r="A114" s="37"/>
      <c r="B114" s="265"/>
      <c r="C114" s="301" t="s">
        <v>214</v>
      </c>
      <c r="D114" s="372">
        <v>46069.0</v>
      </c>
      <c r="E114" s="303" t="s">
        <v>215</v>
      </c>
      <c r="F114" s="22"/>
      <c r="G114" s="28"/>
      <c r="H114" s="304" t="s">
        <v>216</v>
      </c>
      <c r="I114" s="297"/>
      <c r="J114" s="282"/>
      <c r="K114" s="304"/>
      <c r="L114" s="297"/>
      <c r="M114" s="282"/>
      <c r="N114" s="304"/>
      <c r="O114" s="297"/>
      <c r="P114" s="282"/>
      <c r="Q114" s="304"/>
      <c r="R114" s="297"/>
      <c r="S114" s="282"/>
      <c r="T114" s="265"/>
      <c r="U114" s="265"/>
      <c r="V114" s="265"/>
    </row>
    <row r="115" ht="48.0" customHeight="1">
      <c r="A115" s="37"/>
      <c r="B115" s="456" t="s">
        <v>258</v>
      </c>
      <c r="C115" s="306" t="s">
        <v>221</v>
      </c>
      <c r="D115" s="306" t="s">
        <v>222</v>
      </c>
      <c r="E115" s="301" t="s">
        <v>223</v>
      </c>
      <c r="F115" s="301" t="s">
        <v>224</v>
      </c>
      <c r="G115" s="301" t="s">
        <v>66</v>
      </c>
      <c r="H115" s="301" t="s">
        <v>223</v>
      </c>
      <c r="I115" s="301" t="s">
        <v>224</v>
      </c>
      <c r="J115" s="301" t="s">
        <v>66</v>
      </c>
      <c r="K115" s="301" t="s">
        <v>64</v>
      </c>
      <c r="L115" s="301" t="s">
        <v>223</v>
      </c>
      <c r="M115" s="444" t="s">
        <v>266</v>
      </c>
      <c r="N115" s="282"/>
      <c r="O115" s="301" t="s">
        <v>271</v>
      </c>
      <c r="P115" s="301"/>
      <c r="Q115" s="301"/>
      <c r="R115" s="301"/>
      <c r="S115" s="466"/>
      <c r="T115" s="307" t="s">
        <v>225</v>
      </c>
      <c r="U115" s="421" t="s">
        <v>263</v>
      </c>
      <c r="V115" s="265"/>
    </row>
    <row r="116">
      <c r="A116" s="37"/>
      <c r="B116" s="308"/>
      <c r="C116" s="561">
        <v>1.0</v>
      </c>
      <c r="D116" s="373" t="s">
        <v>127</v>
      </c>
      <c r="E116" s="312">
        <v>14.0</v>
      </c>
      <c r="F116" s="312">
        <v>10.0</v>
      </c>
      <c r="G116" s="318"/>
      <c r="H116" s="313">
        <v>12.0</v>
      </c>
      <c r="I116" s="312">
        <v>10.0</v>
      </c>
      <c r="J116" s="317"/>
      <c r="K116" s="312">
        <v>2.0</v>
      </c>
      <c r="L116" s="312" t="s">
        <v>134</v>
      </c>
      <c r="M116" s="318"/>
      <c r="O116" s="25"/>
      <c r="P116" s="317"/>
      <c r="Q116" s="222"/>
      <c r="R116" s="316"/>
      <c r="S116" s="316"/>
      <c r="T116" s="467">
        <f t="shared" ref="T116:T122" si="10">(E116*F116)+(H116*I116)</f>
        <v>260</v>
      </c>
      <c r="U116" s="422"/>
      <c r="V116" s="265"/>
    </row>
    <row r="117">
      <c r="A117" s="37"/>
      <c r="B117" s="308"/>
      <c r="C117" s="562">
        <v>2.0</v>
      </c>
      <c r="D117" s="377" t="s">
        <v>178</v>
      </c>
      <c r="E117" s="423">
        <v>6.0</v>
      </c>
      <c r="F117" s="333">
        <v>60.0</v>
      </c>
      <c r="G117" s="336"/>
      <c r="H117" s="334">
        <v>8.0</v>
      </c>
      <c r="I117" s="333">
        <v>50.0</v>
      </c>
      <c r="J117" s="339"/>
      <c r="K117" s="339">
        <v>2.0</v>
      </c>
      <c r="L117" s="440">
        <v>45938.0</v>
      </c>
      <c r="M117" s="336"/>
      <c r="O117" s="25"/>
      <c r="P117" s="339"/>
      <c r="Q117" s="436"/>
      <c r="R117" s="338"/>
      <c r="S117" s="338"/>
      <c r="T117" s="467">
        <f t="shared" si="10"/>
        <v>760</v>
      </c>
      <c r="U117" s="422"/>
      <c r="V117" s="265"/>
    </row>
    <row r="118">
      <c r="A118" s="37"/>
      <c r="B118" s="308"/>
      <c r="C118" s="561">
        <v>3.0</v>
      </c>
      <c r="D118" s="382" t="s">
        <v>179</v>
      </c>
      <c r="E118" s="259">
        <v>6.0</v>
      </c>
      <c r="F118" s="383">
        <v>60.0</v>
      </c>
      <c r="G118" s="318"/>
      <c r="H118" s="343">
        <v>6.0</v>
      </c>
      <c r="I118" s="342">
        <v>50.0</v>
      </c>
      <c r="J118" s="344"/>
      <c r="K118" s="481">
        <v>2.0</v>
      </c>
      <c r="L118" s="432">
        <v>45510.0</v>
      </c>
      <c r="M118" s="318"/>
      <c r="O118" s="25"/>
      <c r="P118" s="344"/>
      <c r="Q118" s="209"/>
      <c r="R118" s="346"/>
      <c r="S118" s="346"/>
      <c r="T118" s="467">
        <f t="shared" si="10"/>
        <v>660</v>
      </c>
      <c r="U118" s="422"/>
      <c r="V118" s="265"/>
    </row>
    <row r="119">
      <c r="A119" s="37"/>
      <c r="B119" s="308"/>
      <c r="C119" s="562">
        <v>4.0</v>
      </c>
      <c r="D119" s="377" t="s">
        <v>180</v>
      </c>
      <c r="E119" s="423">
        <v>10.0</v>
      </c>
      <c r="F119" s="379">
        <v>30.0</v>
      </c>
      <c r="G119" s="336"/>
      <c r="H119" s="334">
        <v>10.0</v>
      </c>
      <c r="I119" s="333">
        <v>30.0</v>
      </c>
      <c r="J119" s="339"/>
      <c r="K119" s="339">
        <v>2.0</v>
      </c>
      <c r="L119" s="440">
        <v>45938.0</v>
      </c>
      <c r="M119" s="336"/>
      <c r="O119" s="25"/>
      <c r="P119" s="339"/>
      <c r="Q119" s="459"/>
      <c r="R119" s="338"/>
      <c r="S119" s="338"/>
      <c r="T119" s="467">
        <f t="shared" si="10"/>
        <v>600</v>
      </c>
      <c r="U119" s="422"/>
      <c r="V119" s="265"/>
    </row>
    <row r="120">
      <c r="A120" s="37"/>
      <c r="B120" s="308"/>
      <c r="C120" s="561">
        <v>5.0</v>
      </c>
      <c r="D120" s="382" t="s">
        <v>141</v>
      </c>
      <c r="E120" s="259">
        <v>14.0</v>
      </c>
      <c r="F120" s="383">
        <v>15.0</v>
      </c>
      <c r="G120" s="318"/>
      <c r="H120" s="343">
        <v>8.0</v>
      </c>
      <c r="I120" s="342">
        <v>15.0</v>
      </c>
      <c r="J120" s="344"/>
      <c r="K120" s="481" t="s">
        <v>78</v>
      </c>
      <c r="L120" s="566" t="s">
        <v>108</v>
      </c>
      <c r="M120" s="100" t="s">
        <v>73</v>
      </c>
      <c r="O120" s="25"/>
      <c r="P120" s="344">
        <v>3101.0</v>
      </c>
      <c r="Q120" s="239"/>
      <c r="R120" s="346"/>
      <c r="S120" s="346"/>
      <c r="T120" s="467">
        <f t="shared" si="10"/>
        <v>330</v>
      </c>
      <c r="U120" s="422"/>
      <c r="V120" s="265"/>
    </row>
    <row r="121">
      <c r="A121" s="37"/>
      <c r="B121" s="308"/>
      <c r="C121" s="562">
        <v>6.0</v>
      </c>
      <c r="D121" s="331" t="s">
        <v>139</v>
      </c>
      <c r="E121" s="423">
        <v>12.0</v>
      </c>
      <c r="F121" s="379">
        <v>30.0</v>
      </c>
      <c r="G121" s="336"/>
      <c r="H121" s="334">
        <v>14.0</v>
      </c>
      <c r="I121" s="333">
        <v>30.0</v>
      </c>
      <c r="J121" s="339"/>
      <c r="K121" s="339" t="s">
        <v>78</v>
      </c>
      <c r="L121" s="440">
        <v>45999.0</v>
      </c>
      <c r="M121" s="336" t="s">
        <v>97</v>
      </c>
      <c r="O121" s="25"/>
      <c r="P121" s="339"/>
      <c r="Q121" s="424"/>
      <c r="R121" s="338"/>
      <c r="S121" s="338"/>
      <c r="T121" s="467">
        <f t="shared" si="10"/>
        <v>780</v>
      </c>
      <c r="U121" s="422"/>
      <c r="V121" s="265"/>
    </row>
    <row r="122" ht="33.0" customHeight="1">
      <c r="A122" s="37"/>
      <c r="B122" s="361"/>
      <c r="C122" s="309">
        <v>7.0</v>
      </c>
      <c r="D122" s="382" t="s">
        <v>88</v>
      </c>
      <c r="E122" s="259">
        <v>13.0</v>
      </c>
      <c r="F122" s="383">
        <v>10.0</v>
      </c>
      <c r="G122" s="318"/>
      <c r="H122" s="343">
        <v>11.0</v>
      </c>
      <c r="I122" s="342">
        <v>8.0</v>
      </c>
      <c r="J122" s="344"/>
      <c r="K122" s="481" t="s">
        <v>78</v>
      </c>
      <c r="L122" s="566" t="s">
        <v>108</v>
      </c>
      <c r="M122" s="100" t="s">
        <v>73</v>
      </c>
      <c r="O122" s="25"/>
      <c r="P122" s="472">
        <v>3101.0</v>
      </c>
      <c r="Q122" s="239"/>
      <c r="R122" s="346"/>
      <c r="S122" s="261"/>
      <c r="T122" s="467">
        <f t="shared" si="10"/>
        <v>218</v>
      </c>
      <c r="U122" s="422"/>
      <c r="V122" s="37"/>
    </row>
    <row r="123" ht="33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37"/>
      <c r="B124" s="265"/>
      <c r="C124" s="294" t="s">
        <v>209</v>
      </c>
      <c r="D124" s="295"/>
      <c r="E124" s="296" t="s">
        <v>244</v>
      </c>
      <c r="F124" s="297"/>
      <c r="G124" s="297"/>
      <c r="H124" s="297"/>
      <c r="I124" s="297"/>
      <c r="J124" s="297"/>
      <c r="K124" s="297"/>
      <c r="L124" s="297"/>
      <c r="M124" s="282"/>
      <c r="N124" s="298" t="s">
        <v>211</v>
      </c>
      <c r="O124" s="268"/>
      <c r="P124" s="57"/>
      <c r="Q124" s="286"/>
      <c r="R124" s="268"/>
      <c r="S124" s="57"/>
      <c r="T124" s="292"/>
      <c r="U124" s="265"/>
      <c r="V124" s="265"/>
    </row>
    <row r="125">
      <c r="A125" s="37"/>
      <c r="B125" s="265"/>
      <c r="C125" s="301" t="s">
        <v>214</v>
      </c>
      <c r="D125" s="372">
        <v>46070.0</v>
      </c>
      <c r="E125" s="303" t="s">
        <v>215</v>
      </c>
      <c r="F125" s="22"/>
      <c r="G125" s="28"/>
      <c r="H125" s="304" t="s">
        <v>216</v>
      </c>
      <c r="I125" s="297"/>
      <c r="J125" s="282"/>
      <c r="K125" s="304"/>
      <c r="L125" s="297"/>
      <c r="M125" s="282"/>
      <c r="N125" s="304"/>
      <c r="O125" s="297"/>
      <c r="P125" s="282"/>
      <c r="Q125" s="304"/>
      <c r="R125" s="297"/>
      <c r="S125" s="282"/>
      <c r="T125" s="265"/>
      <c r="U125" s="265"/>
      <c r="V125" s="265"/>
    </row>
    <row r="126">
      <c r="A126" s="37"/>
      <c r="B126" s="456" t="s">
        <v>259</v>
      </c>
      <c r="C126" s="306" t="s">
        <v>221</v>
      </c>
      <c r="D126" s="306" t="s">
        <v>222</v>
      </c>
      <c r="E126" s="301" t="s">
        <v>223</v>
      </c>
      <c r="F126" s="301" t="s">
        <v>224</v>
      </c>
      <c r="G126" s="301" t="s">
        <v>66</v>
      </c>
      <c r="H126" s="301" t="s">
        <v>223</v>
      </c>
      <c r="I126" s="301" t="s">
        <v>224</v>
      </c>
      <c r="J126" s="301" t="s">
        <v>66</v>
      </c>
      <c r="K126" s="301" t="s">
        <v>64</v>
      </c>
      <c r="L126" s="301" t="s">
        <v>223</v>
      </c>
      <c r="M126" s="444" t="s">
        <v>266</v>
      </c>
      <c r="N126" s="282"/>
      <c r="O126" s="301" t="s">
        <v>271</v>
      </c>
      <c r="P126" s="301"/>
      <c r="Q126" s="301"/>
      <c r="R126" s="301"/>
      <c r="S126" s="301"/>
      <c r="T126" s="307" t="s">
        <v>225</v>
      </c>
      <c r="U126" s="421" t="s">
        <v>263</v>
      </c>
      <c r="V126" s="265"/>
    </row>
    <row r="127">
      <c r="A127" s="37"/>
      <c r="B127" s="308"/>
      <c r="C127" s="561">
        <v>1.0</v>
      </c>
      <c r="D127" s="373" t="s">
        <v>167</v>
      </c>
      <c r="E127" s="374">
        <v>12.0</v>
      </c>
      <c r="F127" s="375">
        <v>60.0</v>
      </c>
      <c r="G127" s="384"/>
      <c r="H127" s="376">
        <v>12.0</v>
      </c>
      <c r="I127" s="375">
        <v>60.0</v>
      </c>
      <c r="J127" s="317"/>
      <c r="K127" s="317">
        <v>2.0</v>
      </c>
      <c r="L127" s="209">
        <v>45634.0</v>
      </c>
      <c r="M127" s="100" t="s">
        <v>124</v>
      </c>
      <c r="O127" s="25"/>
      <c r="P127" s="472">
        <v>3101.0</v>
      </c>
      <c r="Q127" s="222"/>
      <c r="R127" s="316"/>
      <c r="S127" s="316"/>
      <c r="T127" s="319">
        <f t="shared" ref="T127:T133" si="11">(E127*F127)+(H127*I127)</f>
        <v>1440</v>
      </c>
      <c r="U127" s="422"/>
      <c r="V127" s="265"/>
    </row>
    <row r="128">
      <c r="A128" s="37"/>
      <c r="B128" s="308"/>
      <c r="C128" s="562">
        <v>2.0</v>
      </c>
      <c r="D128" s="377" t="s">
        <v>189</v>
      </c>
      <c r="E128" s="378">
        <v>10.0</v>
      </c>
      <c r="F128" s="379">
        <v>27.5</v>
      </c>
      <c r="G128" s="380"/>
      <c r="H128" s="381">
        <v>12.0</v>
      </c>
      <c r="I128" s="379">
        <v>20.0</v>
      </c>
      <c r="J128" s="339"/>
      <c r="K128" s="335" t="s">
        <v>78</v>
      </c>
      <c r="L128" s="440">
        <v>46001.0</v>
      </c>
      <c r="M128" s="336" t="s">
        <v>97</v>
      </c>
      <c r="O128" s="25"/>
      <c r="P128" s="339">
        <v>3101.0</v>
      </c>
      <c r="Q128" s="436"/>
      <c r="R128" s="338"/>
      <c r="S128" s="338"/>
      <c r="T128" s="319">
        <f t="shared" si="11"/>
        <v>515</v>
      </c>
      <c r="U128" s="422"/>
      <c r="V128" s="265"/>
    </row>
    <row r="129">
      <c r="A129" s="37"/>
      <c r="B129" s="308"/>
      <c r="C129" s="561">
        <v>3.0</v>
      </c>
      <c r="D129" s="382" t="s">
        <v>277</v>
      </c>
      <c r="E129" s="374">
        <v>16.0</v>
      </c>
      <c r="F129" s="383">
        <v>60.0</v>
      </c>
      <c r="G129" s="384"/>
      <c r="H129" s="385">
        <v>16.0</v>
      </c>
      <c r="I129" s="383">
        <v>50.0</v>
      </c>
      <c r="J129" s="344"/>
      <c r="K129" s="344" t="s">
        <v>78</v>
      </c>
      <c r="L129" s="437" t="s">
        <v>134</v>
      </c>
      <c r="M129" s="100" t="s">
        <v>97</v>
      </c>
      <c r="O129" s="25"/>
      <c r="P129" s="473">
        <v>3001.0</v>
      </c>
      <c r="Q129" s="209"/>
      <c r="R129" s="346"/>
      <c r="S129" s="346"/>
      <c r="T129" s="319">
        <f t="shared" si="11"/>
        <v>1760</v>
      </c>
      <c r="U129" s="422"/>
      <c r="V129" s="265"/>
    </row>
    <row r="130">
      <c r="A130" s="37"/>
      <c r="B130" s="308"/>
      <c r="C130" s="562">
        <v>4.0</v>
      </c>
      <c r="D130" s="377" t="s">
        <v>191</v>
      </c>
      <c r="E130" s="378">
        <v>10.0</v>
      </c>
      <c r="F130" s="379">
        <v>120.0</v>
      </c>
      <c r="G130" s="380"/>
      <c r="H130" s="439">
        <v>9.0</v>
      </c>
      <c r="I130" s="379">
        <v>120.0</v>
      </c>
      <c r="J130" s="339"/>
      <c r="K130" s="339">
        <v>2.0</v>
      </c>
      <c r="L130" s="440">
        <v>45938.0</v>
      </c>
      <c r="M130" s="332"/>
      <c r="N130" s="332"/>
      <c r="O130" s="335"/>
      <c r="P130" s="339">
        <v>3001.0</v>
      </c>
      <c r="Q130" s="459"/>
      <c r="R130" s="338"/>
      <c r="S130" s="338"/>
      <c r="T130" s="319">
        <f t="shared" si="11"/>
        <v>2280</v>
      </c>
      <c r="U130" s="422"/>
      <c r="V130" s="265"/>
    </row>
    <row r="131">
      <c r="A131" s="37"/>
      <c r="B131" s="308"/>
      <c r="C131" s="561">
        <v>5.0</v>
      </c>
      <c r="D131" s="382" t="s">
        <v>192</v>
      </c>
      <c r="E131" s="374">
        <v>6.0</v>
      </c>
      <c r="F131" s="383">
        <v>80.0</v>
      </c>
      <c r="G131" s="384"/>
      <c r="H131" s="385">
        <v>8.0</v>
      </c>
      <c r="I131" s="383">
        <v>70.0</v>
      </c>
      <c r="J131" s="344"/>
      <c r="K131" s="344">
        <v>2.0</v>
      </c>
      <c r="L131" s="432">
        <v>45510.0</v>
      </c>
      <c r="M131" s="218"/>
      <c r="O131" s="25"/>
      <c r="P131" s="473"/>
      <c r="Q131" s="239"/>
      <c r="R131" s="346"/>
      <c r="S131" s="346"/>
      <c r="T131" s="319">
        <f t="shared" si="11"/>
        <v>1040</v>
      </c>
      <c r="U131" s="422"/>
      <c r="V131" s="265"/>
    </row>
    <row r="132">
      <c r="A132" s="37"/>
      <c r="B132" s="308"/>
      <c r="C132" s="562">
        <v>6.0</v>
      </c>
      <c r="D132" s="331" t="s">
        <v>267</v>
      </c>
      <c r="E132" s="378">
        <v>12.0</v>
      </c>
      <c r="F132" s="379">
        <v>40.0</v>
      </c>
      <c r="G132" s="380"/>
      <c r="H132" s="381">
        <v>8.0</v>
      </c>
      <c r="I132" s="379">
        <v>40.0</v>
      </c>
      <c r="J132" s="339"/>
      <c r="K132" s="339" t="s">
        <v>113</v>
      </c>
      <c r="L132" s="474">
        <v>45999.0</v>
      </c>
      <c r="M132" s="337" t="s">
        <v>97</v>
      </c>
      <c r="O132" s="25"/>
      <c r="P132" s="338">
        <v>3202.0</v>
      </c>
      <c r="Q132" s="424"/>
      <c r="R132" s="338"/>
      <c r="S132" s="338"/>
      <c r="T132" s="319">
        <f t="shared" si="11"/>
        <v>800</v>
      </c>
      <c r="U132" s="422"/>
      <c r="V132" s="265"/>
    </row>
    <row r="133">
      <c r="A133" s="37"/>
      <c r="B133" s="361"/>
      <c r="C133" s="561">
        <v>7.0</v>
      </c>
      <c r="D133" s="506"/>
      <c r="E133" s="508"/>
      <c r="F133" s="508"/>
      <c r="G133" s="509"/>
      <c r="H133" s="508"/>
      <c r="I133" s="508"/>
      <c r="J133" s="509"/>
      <c r="K133" s="508"/>
      <c r="L133" s="508"/>
      <c r="M133" s="511"/>
      <c r="O133" s="25"/>
      <c r="P133" s="346"/>
      <c r="Q133" s="342"/>
      <c r="R133" s="342"/>
      <c r="S133" s="342"/>
      <c r="T133" s="319">
        <f t="shared" si="11"/>
        <v>0</v>
      </c>
      <c r="U133" s="422"/>
      <c r="V133" s="265"/>
    </row>
    <row r="134">
      <c r="A134" s="37"/>
      <c r="B134" s="569">
        <v>1.0</v>
      </c>
      <c r="C134" s="265"/>
      <c r="D134" s="265"/>
      <c r="E134" s="265"/>
      <c r="F134" s="265"/>
      <c r="G134" s="265"/>
      <c r="H134" s="265"/>
      <c r="I134" s="265"/>
      <c r="J134" s="265"/>
      <c r="K134" s="292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</row>
    <row r="135">
      <c r="A135" s="37"/>
      <c r="B135" s="265"/>
      <c r="C135" s="294" t="s">
        <v>209</v>
      </c>
      <c r="D135" s="295"/>
      <c r="E135" s="296" t="s">
        <v>248</v>
      </c>
      <c r="F135" s="297"/>
      <c r="G135" s="297"/>
      <c r="H135" s="297"/>
      <c r="I135" s="297"/>
      <c r="J135" s="297"/>
      <c r="K135" s="297"/>
      <c r="L135" s="297"/>
      <c r="M135" s="282"/>
      <c r="N135" s="298" t="s">
        <v>211</v>
      </c>
      <c r="O135" s="268"/>
      <c r="P135" s="57"/>
      <c r="Q135" s="286"/>
      <c r="R135" s="268"/>
      <c r="S135" s="57"/>
      <c r="T135" s="292"/>
      <c r="U135" s="265"/>
      <c r="V135" s="265"/>
    </row>
    <row r="136">
      <c r="A136" s="37"/>
      <c r="B136" s="265"/>
      <c r="C136" s="301" t="s">
        <v>214</v>
      </c>
      <c r="D136" s="372">
        <v>46071.0</v>
      </c>
      <c r="E136" s="303" t="s">
        <v>215</v>
      </c>
      <c r="F136" s="22"/>
      <c r="G136" s="28"/>
      <c r="H136" s="304" t="s">
        <v>216</v>
      </c>
      <c r="I136" s="297"/>
      <c r="J136" s="282"/>
      <c r="K136" s="304"/>
      <c r="L136" s="297"/>
      <c r="M136" s="282"/>
      <c r="N136" s="304"/>
      <c r="O136" s="297"/>
      <c r="P136" s="282"/>
      <c r="Q136" s="304"/>
      <c r="R136" s="297"/>
      <c r="S136" s="282"/>
      <c r="T136" s="265"/>
      <c r="U136" s="265"/>
      <c r="V136" s="265"/>
    </row>
    <row r="137">
      <c r="A137" s="37"/>
      <c r="B137" s="456" t="s">
        <v>261</v>
      </c>
      <c r="C137" s="306" t="s">
        <v>221</v>
      </c>
      <c r="D137" s="306" t="s">
        <v>222</v>
      </c>
      <c r="E137" s="301" t="s">
        <v>223</v>
      </c>
      <c r="F137" s="301" t="s">
        <v>224</v>
      </c>
      <c r="G137" s="301" t="s">
        <v>66</v>
      </c>
      <c r="H137" s="301" t="s">
        <v>223</v>
      </c>
      <c r="I137" s="301" t="s">
        <v>224</v>
      </c>
      <c r="J137" s="301" t="s">
        <v>66</v>
      </c>
      <c r="K137" s="301" t="s">
        <v>268</v>
      </c>
      <c r="L137" s="301" t="s">
        <v>269</v>
      </c>
      <c r="M137" s="468" t="s">
        <v>270</v>
      </c>
      <c r="N137" s="282"/>
      <c r="O137" s="301" t="s">
        <v>271</v>
      </c>
      <c r="P137" s="301"/>
      <c r="Q137" s="468"/>
      <c r="R137" s="297"/>
      <c r="S137" s="282"/>
      <c r="T137" s="307" t="s">
        <v>225</v>
      </c>
      <c r="U137" s="421" t="s">
        <v>263</v>
      </c>
      <c r="V137" s="265"/>
    </row>
    <row r="138">
      <c r="A138" s="37"/>
      <c r="B138" s="308"/>
      <c r="C138" s="309">
        <v>1.0</v>
      </c>
      <c r="D138" s="373" t="s">
        <v>130</v>
      </c>
      <c r="E138" s="259">
        <v>12.0</v>
      </c>
      <c r="F138" s="375">
        <v>12.0</v>
      </c>
      <c r="G138" s="384"/>
      <c r="H138" s="376">
        <v>12.0</v>
      </c>
      <c r="I138" s="375">
        <v>12.0</v>
      </c>
      <c r="J138" s="315"/>
      <c r="K138" s="316">
        <v>2.0</v>
      </c>
      <c r="L138" s="236">
        <v>45999.0</v>
      </c>
      <c r="M138" s="345"/>
      <c r="N138" s="25"/>
      <c r="O138" s="316"/>
      <c r="P138" s="316"/>
      <c r="Q138" s="485"/>
      <c r="R138" s="491"/>
      <c r="S138" s="472"/>
      <c r="T138" s="467">
        <f t="shared" ref="T138:T144" si="12">(E138*F138)+(H138*I138)</f>
        <v>288</v>
      </c>
      <c r="U138" s="422"/>
      <c r="V138" s="265"/>
    </row>
    <row r="139">
      <c r="A139" s="37"/>
      <c r="B139" s="308"/>
      <c r="C139" s="330">
        <v>2.0</v>
      </c>
      <c r="D139" s="377" t="s">
        <v>183</v>
      </c>
      <c r="E139" s="423">
        <v>16.0</v>
      </c>
      <c r="F139" s="379">
        <v>12.0</v>
      </c>
      <c r="G139" s="380"/>
      <c r="H139" s="381">
        <v>17.0</v>
      </c>
      <c r="I139" s="379">
        <v>12.0</v>
      </c>
      <c r="J139" s="337"/>
      <c r="K139" s="338" t="s">
        <v>78</v>
      </c>
      <c r="L139" s="436" t="s">
        <v>134</v>
      </c>
      <c r="M139" s="337" t="s">
        <v>73</v>
      </c>
      <c r="N139" s="25"/>
      <c r="O139" s="338">
        <v>3101.0</v>
      </c>
      <c r="P139" s="338"/>
      <c r="Q139" s="336"/>
      <c r="R139" s="339"/>
      <c r="S139" s="339"/>
      <c r="T139" s="467">
        <f t="shared" si="12"/>
        <v>396</v>
      </c>
      <c r="U139" s="422"/>
      <c r="V139" s="265"/>
    </row>
    <row r="140">
      <c r="A140" s="37"/>
      <c r="B140" s="308"/>
      <c r="C140" s="309">
        <v>3.0</v>
      </c>
      <c r="D140" s="382" t="s">
        <v>131</v>
      </c>
      <c r="E140" s="259">
        <v>12.0</v>
      </c>
      <c r="F140" s="383">
        <v>50.0</v>
      </c>
      <c r="H140" s="385">
        <v>9.0</v>
      </c>
      <c r="I140" s="383">
        <v>50.0</v>
      </c>
      <c r="J140" s="345"/>
      <c r="K140" s="346">
        <v>2.0</v>
      </c>
      <c r="L140" s="236">
        <v>46001.0</v>
      </c>
      <c r="M140" s="345"/>
      <c r="N140" s="25"/>
      <c r="O140" s="346"/>
      <c r="P140" s="346"/>
      <c r="Q140" s="485"/>
      <c r="R140" s="491"/>
      <c r="S140" s="473"/>
      <c r="T140" s="467">
        <f t="shared" si="12"/>
        <v>1050</v>
      </c>
      <c r="U140" s="422"/>
      <c r="V140" s="265"/>
    </row>
    <row r="141">
      <c r="A141" s="37"/>
      <c r="B141" s="308"/>
      <c r="C141" s="330">
        <v>4.0</v>
      </c>
      <c r="D141" s="377" t="s">
        <v>106</v>
      </c>
      <c r="E141" s="423">
        <v>10.0</v>
      </c>
      <c r="F141" s="379">
        <v>60.0</v>
      </c>
      <c r="G141" s="380"/>
      <c r="H141" s="381">
        <v>8.0</v>
      </c>
      <c r="I141" s="379">
        <v>60.0</v>
      </c>
      <c r="J141" s="337"/>
      <c r="K141" s="338">
        <v>2.0</v>
      </c>
      <c r="L141" s="459">
        <v>45573.0</v>
      </c>
      <c r="M141" s="337"/>
      <c r="N141" s="25"/>
      <c r="O141" s="338">
        <v>3101.0</v>
      </c>
      <c r="P141" s="338"/>
      <c r="Q141" s="332"/>
      <c r="R141" s="335"/>
      <c r="S141" s="339"/>
      <c r="T141" s="467">
        <f t="shared" si="12"/>
        <v>1080</v>
      </c>
      <c r="U141" s="422"/>
      <c r="V141" s="265"/>
    </row>
    <row r="142">
      <c r="A142" s="37"/>
      <c r="B142" s="308"/>
      <c r="C142" s="309">
        <v>5.0</v>
      </c>
      <c r="D142" s="382" t="s">
        <v>185</v>
      </c>
      <c r="E142" s="244">
        <v>12.0</v>
      </c>
      <c r="F142" s="383">
        <v>80.0</v>
      </c>
      <c r="G142" s="384"/>
      <c r="H142" s="385">
        <v>10.0</v>
      </c>
      <c r="I142" s="383">
        <v>80.0</v>
      </c>
      <c r="J142" s="345"/>
      <c r="K142" s="346">
        <v>2.0</v>
      </c>
      <c r="L142" s="239">
        <v>45636.0</v>
      </c>
      <c r="M142" s="345"/>
      <c r="N142" s="25"/>
      <c r="O142" s="346"/>
      <c r="P142" s="346"/>
      <c r="Q142" s="228"/>
      <c r="R142" s="418"/>
      <c r="S142" s="473"/>
      <c r="T142" s="467">
        <f t="shared" si="12"/>
        <v>1760</v>
      </c>
      <c r="U142" s="422"/>
      <c r="V142" s="265"/>
    </row>
    <row r="143">
      <c r="A143" s="37"/>
      <c r="B143" s="308"/>
      <c r="C143" s="330">
        <v>6.0</v>
      </c>
      <c r="D143" s="331" t="s">
        <v>186</v>
      </c>
      <c r="E143" s="423">
        <v>12.0</v>
      </c>
      <c r="F143" s="379">
        <v>70.0</v>
      </c>
      <c r="G143" s="380"/>
      <c r="H143" s="381">
        <v>12.0</v>
      </c>
      <c r="I143" s="379">
        <v>60.0</v>
      </c>
      <c r="J143" s="337"/>
      <c r="K143" s="338">
        <v>2.0</v>
      </c>
      <c r="L143" s="424">
        <v>46001.0</v>
      </c>
      <c r="M143" s="337"/>
      <c r="N143" s="25"/>
      <c r="O143" s="338"/>
      <c r="P143" s="338"/>
      <c r="Q143" s="336"/>
      <c r="R143" s="339"/>
      <c r="S143" s="338"/>
      <c r="T143" s="467">
        <f t="shared" si="12"/>
        <v>1560</v>
      </c>
      <c r="U143" s="422"/>
      <c r="V143" s="265"/>
    </row>
    <row r="144">
      <c r="A144" s="37"/>
      <c r="B144" s="361"/>
      <c r="C144" s="309">
        <v>7.0</v>
      </c>
      <c r="D144" s="382" t="s">
        <v>187</v>
      </c>
      <c r="E144" s="259">
        <v>12.0</v>
      </c>
      <c r="F144" s="342">
        <v>15.0</v>
      </c>
      <c r="G144" s="318"/>
      <c r="H144" s="343">
        <v>10.0</v>
      </c>
      <c r="I144" s="342">
        <v>15.0</v>
      </c>
      <c r="J144" s="345"/>
      <c r="K144" s="346" t="s">
        <v>78</v>
      </c>
      <c r="L144" s="236">
        <v>45999.0</v>
      </c>
      <c r="M144" s="100" t="s">
        <v>73</v>
      </c>
      <c r="O144" s="261">
        <v>3101.0</v>
      </c>
      <c r="P144" s="342"/>
      <c r="Q144" s="485"/>
      <c r="S144" s="25"/>
      <c r="T144" s="467">
        <f t="shared" si="12"/>
        <v>330</v>
      </c>
      <c r="U144" s="422"/>
      <c r="V144" s="265"/>
    </row>
    <row r="145">
      <c r="A145" s="264"/>
      <c r="B145" s="368"/>
      <c r="C145" s="265"/>
      <c r="D145" s="265"/>
      <c r="E145" s="265"/>
      <c r="F145" s="265"/>
      <c r="G145" s="265"/>
      <c r="H145" s="265"/>
      <c r="I145" s="265"/>
      <c r="J145" s="29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</row>
    <row r="146">
      <c r="A146" s="37"/>
      <c r="B146" s="265"/>
      <c r="C146" s="294" t="s">
        <v>209</v>
      </c>
      <c r="D146" s="295"/>
      <c r="E146" s="296" t="s">
        <v>233</v>
      </c>
      <c r="F146" s="297"/>
      <c r="G146" s="297"/>
      <c r="H146" s="297"/>
      <c r="I146" s="297"/>
      <c r="J146" s="297"/>
      <c r="K146" s="297"/>
      <c r="L146" s="297"/>
      <c r="M146" s="282"/>
      <c r="N146" s="298" t="s">
        <v>211</v>
      </c>
      <c r="O146" s="268"/>
      <c r="P146" s="57"/>
      <c r="Q146" s="286"/>
      <c r="R146" s="268"/>
      <c r="S146" s="57"/>
      <c r="T146" s="292"/>
      <c r="U146" s="265"/>
      <c r="V146" s="265"/>
    </row>
    <row r="147">
      <c r="A147" s="37"/>
      <c r="B147" s="265"/>
      <c r="C147" s="301" t="s">
        <v>214</v>
      </c>
      <c r="D147" s="372">
        <v>46073.0</v>
      </c>
      <c r="E147" s="303" t="s">
        <v>215</v>
      </c>
      <c r="F147" s="22"/>
      <c r="G147" s="28"/>
      <c r="H147" s="304" t="s">
        <v>216</v>
      </c>
      <c r="I147" s="297"/>
      <c r="J147" s="282"/>
      <c r="K147" s="304"/>
      <c r="L147" s="297"/>
      <c r="M147" s="282"/>
      <c r="N147" s="304"/>
      <c r="O147" s="297"/>
      <c r="P147" s="282"/>
      <c r="Q147" s="304"/>
      <c r="R147" s="297"/>
      <c r="S147" s="282"/>
      <c r="T147" s="265"/>
      <c r="U147" s="265"/>
      <c r="V147" s="265"/>
    </row>
    <row r="148">
      <c r="A148" s="37"/>
      <c r="B148" s="470" t="s">
        <v>262</v>
      </c>
      <c r="C148" s="306" t="s">
        <v>221</v>
      </c>
      <c r="D148" s="306" t="s">
        <v>222</v>
      </c>
      <c r="E148" s="301" t="s">
        <v>223</v>
      </c>
      <c r="F148" s="301" t="s">
        <v>224</v>
      </c>
      <c r="G148" s="301" t="s">
        <v>66</v>
      </c>
      <c r="H148" s="301" t="s">
        <v>223</v>
      </c>
      <c r="I148" s="301" t="s">
        <v>224</v>
      </c>
      <c r="J148" s="301" t="s">
        <v>66</v>
      </c>
      <c r="K148" s="301" t="s">
        <v>268</v>
      </c>
      <c r="L148" s="301" t="s">
        <v>269</v>
      </c>
      <c r="M148" s="468" t="s">
        <v>270</v>
      </c>
      <c r="N148" s="297"/>
      <c r="O148" s="282"/>
      <c r="P148" s="301" t="s">
        <v>271</v>
      </c>
      <c r="Q148" s="468"/>
      <c r="R148" s="297"/>
      <c r="S148" s="282"/>
      <c r="T148" s="307" t="s">
        <v>225</v>
      </c>
      <c r="U148" s="421" t="s">
        <v>263</v>
      </c>
      <c r="V148" s="265"/>
    </row>
    <row r="149">
      <c r="A149" s="37"/>
      <c r="B149" s="308"/>
      <c r="C149" s="309">
        <v>1.0</v>
      </c>
      <c r="D149" s="360" t="s">
        <v>104</v>
      </c>
      <c r="E149" s="510">
        <v>12.0</v>
      </c>
      <c r="F149" s="508">
        <v>10.0</v>
      </c>
      <c r="G149" s="509"/>
      <c r="H149" s="510">
        <v>12.0</v>
      </c>
      <c r="I149" s="508">
        <v>10.0</v>
      </c>
      <c r="J149" s="509"/>
      <c r="K149" s="508">
        <v>2.0</v>
      </c>
      <c r="L149" s="524">
        <v>45634.0</v>
      </c>
      <c r="M149" s="537" t="s">
        <v>124</v>
      </c>
      <c r="O149" s="25"/>
      <c r="P149" s="472"/>
      <c r="Q149" s="472"/>
      <c r="R149" s="472"/>
      <c r="S149" s="472"/>
      <c r="T149" s="467">
        <f t="shared" ref="T149:T155" si="13">(E149*F149)+(H149*I149)</f>
        <v>240</v>
      </c>
      <c r="U149" s="422"/>
      <c r="V149" s="265"/>
    </row>
    <row r="150">
      <c r="A150" s="37"/>
      <c r="B150" s="308"/>
      <c r="C150" s="330">
        <v>2.0</v>
      </c>
      <c r="D150" s="358" t="s">
        <v>145</v>
      </c>
      <c r="E150" s="520">
        <v>10.0</v>
      </c>
      <c r="F150" s="563">
        <v>80.0</v>
      </c>
      <c r="G150" s="518"/>
      <c r="H150" s="564">
        <v>9.0</v>
      </c>
      <c r="I150" s="563">
        <v>80.0</v>
      </c>
      <c r="J150" s="518"/>
      <c r="K150" s="517">
        <v>2.0</v>
      </c>
      <c r="L150" s="539">
        <v>45938.0</v>
      </c>
      <c r="M150" s="527"/>
      <c r="O150" s="25"/>
      <c r="P150" s="339"/>
      <c r="Q150" s="339"/>
      <c r="R150" s="339"/>
      <c r="S150" s="339"/>
      <c r="T150" s="467">
        <f t="shared" si="13"/>
        <v>1520</v>
      </c>
      <c r="U150" s="422"/>
      <c r="V150" s="265"/>
    </row>
    <row r="151">
      <c r="A151" s="37"/>
      <c r="B151" s="308"/>
      <c r="C151" s="309">
        <v>3.0</v>
      </c>
      <c r="D151" s="360" t="s">
        <v>146</v>
      </c>
      <c r="E151" s="523">
        <v>8.0</v>
      </c>
      <c r="F151" s="572">
        <v>28.0</v>
      </c>
      <c r="G151" s="509"/>
      <c r="H151" s="510">
        <v>7.0</v>
      </c>
      <c r="I151" s="572">
        <v>28.0</v>
      </c>
      <c r="J151" s="509"/>
      <c r="K151" s="508">
        <v>2.0</v>
      </c>
      <c r="L151" s="524">
        <v>45509.0</v>
      </c>
      <c r="M151" s="187"/>
      <c r="O151" s="25"/>
      <c r="P151" s="473"/>
      <c r="Q151" s="473"/>
      <c r="R151" s="473"/>
      <c r="S151" s="473"/>
      <c r="T151" s="467">
        <f t="shared" si="13"/>
        <v>420</v>
      </c>
      <c r="U151" s="422"/>
      <c r="V151" s="265"/>
    </row>
    <row r="152">
      <c r="A152" s="37"/>
      <c r="B152" s="308"/>
      <c r="C152" s="330">
        <v>4.0</v>
      </c>
      <c r="D152" s="358" t="s">
        <v>76</v>
      </c>
      <c r="E152" s="564">
        <v>12.0</v>
      </c>
      <c r="F152" s="563">
        <v>10.0</v>
      </c>
      <c r="G152" s="518"/>
      <c r="H152" s="564">
        <v>12.0</v>
      </c>
      <c r="I152" s="563">
        <v>10.0</v>
      </c>
      <c r="J152" s="518"/>
      <c r="K152" s="517" t="s">
        <v>78</v>
      </c>
      <c r="L152" s="517" t="s">
        <v>108</v>
      </c>
      <c r="M152" s="541" t="s">
        <v>97</v>
      </c>
      <c r="O152" s="25"/>
      <c r="P152" s="542">
        <v>3101.0</v>
      </c>
      <c r="Q152" s="339"/>
      <c r="R152" s="339"/>
      <c r="S152" s="339"/>
      <c r="T152" s="467">
        <f t="shared" si="13"/>
        <v>240</v>
      </c>
      <c r="U152" s="422"/>
      <c r="V152" s="265"/>
    </row>
    <row r="153">
      <c r="A153" s="37"/>
      <c r="B153" s="308"/>
      <c r="C153" s="309">
        <v>5.0</v>
      </c>
      <c r="D153" s="341" t="s">
        <v>147</v>
      </c>
      <c r="E153" s="510">
        <v>14.0</v>
      </c>
      <c r="F153" s="572">
        <v>5.0</v>
      </c>
      <c r="G153" s="509"/>
      <c r="H153" s="510">
        <v>16.0</v>
      </c>
      <c r="I153" s="508">
        <v>5.0</v>
      </c>
      <c r="J153" s="509"/>
      <c r="K153" s="508" t="s">
        <v>78</v>
      </c>
      <c r="L153" s="507" t="s">
        <v>134</v>
      </c>
      <c r="M153" s="537" t="s">
        <v>73</v>
      </c>
      <c r="O153" s="25"/>
      <c r="P153" s="543">
        <v>3101.0</v>
      </c>
      <c r="Q153" s="473"/>
      <c r="R153" s="473"/>
      <c r="S153" s="473"/>
      <c r="T153" s="467">
        <f t="shared" si="13"/>
        <v>150</v>
      </c>
      <c r="U153" s="422"/>
      <c r="V153" s="265"/>
    </row>
    <row r="154">
      <c r="A154" s="37"/>
      <c r="B154" s="308"/>
      <c r="C154" s="330">
        <v>6.0</v>
      </c>
      <c r="D154" s="358" t="s">
        <v>149</v>
      </c>
      <c r="E154" s="520">
        <v>12.0</v>
      </c>
      <c r="F154" s="563">
        <v>25.0</v>
      </c>
      <c r="G154" s="518"/>
      <c r="H154" s="520">
        <v>12.0</v>
      </c>
      <c r="I154" s="563">
        <v>25.0</v>
      </c>
      <c r="J154" s="518"/>
      <c r="K154" s="517">
        <v>2.0</v>
      </c>
      <c r="L154" s="539">
        <v>45999.0</v>
      </c>
      <c r="M154" s="527"/>
      <c r="O154" s="25"/>
      <c r="P154" s="542">
        <v>3101.0</v>
      </c>
      <c r="Q154" s="338"/>
      <c r="R154" s="338"/>
      <c r="S154" s="338"/>
      <c r="T154" s="467">
        <f t="shared" si="13"/>
        <v>600</v>
      </c>
      <c r="U154" s="422"/>
      <c r="V154" s="265"/>
    </row>
    <row r="155">
      <c r="A155" s="37"/>
      <c r="B155" s="361"/>
      <c r="C155" s="309">
        <v>7.0</v>
      </c>
      <c r="D155" s="360" t="s">
        <v>151</v>
      </c>
      <c r="E155" s="508">
        <v>12.0</v>
      </c>
      <c r="F155" s="572">
        <v>4.5</v>
      </c>
      <c r="G155" s="509"/>
      <c r="H155" s="508">
        <v>16.0</v>
      </c>
      <c r="I155" s="508">
        <v>4.5</v>
      </c>
      <c r="J155" s="509"/>
      <c r="K155" s="508" t="s">
        <v>78</v>
      </c>
      <c r="L155" s="508" t="s">
        <v>134</v>
      </c>
      <c r="M155" s="511" t="s">
        <v>73</v>
      </c>
      <c r="O155" s="25"/>
      <c r="P155" s="543">
        <v>3200.0</v>
      </c>
      <c r="Q155" s="473"/>
      <c r="R155" s="473"/>
      <c r="S155" s="473"/>
      <c r="T155" s="467">
        <f t="shared" si="13"/>
        <v>126</v>
      </c>
      <c r="U155" s="422"/>
      <c r="V155" s="265"/>
    </row>
    <row r="156" ht="24.0" customHeight="1">
      <c r="A156" s="37"/>
      <c r="B156" s="265"/>
      <c r="C156" s="265"/>
      <c r="D156" s="265"/>
      <c r="E156" s="265"/>
      <c r="F156" s="265"/>
      <c r="G156" s="265"/>
      <c r="H156" s="265"/>
      <c r="I156" s="265"/>
      <c r="J156" s="292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</row>
    <row r="157">
      <c r="A157" s="37"/>
      <c r="B157" s="265"/>
      <c r="C157" s="294" t="s">
        <v>209</v>
      </c>
      <c r="D157" s="295"/>
      <c r="E157" s="296" t="s">
        <v>210</v>
      </c>
      <c r="F157" s="297"/>
      <c r="G157" s="297"/>
      <c r="H157" s="297"/>
      <c r="I157" s="297"/>
      <c r="J157" s="297"/>
      <c r="K157" s="297"/>
      <c r="L157" s="297"/>
      <c r="M157" s="282"/>
      <c r="N157" s="298" t="s">
        <v>211</v>
      </c>
      <c r="O157" s="268"/>
      <c r="P157" s="57"/>
      <c r="Q157" s="286"/>
      <c r="R157" s="268"/>
      <c r="S157" s="57"/>
      <c r="T157" s="292"/>
      <c r="U157" s="265"/>
      <c r="V157" s="265"/>
    </row>
    <row r="158">
      <c r="A158" s="37"/>
      <c r="B158" s="265"/>
      <c r="C158" s="301" t="s">
        <v>214</v>
      </c>
      <c r="D158" s="372">
        <v>46074.0</v>
      </c>
      <c r="E158" s="303" t="s">
        <v>215</v>
      </c>
      <c r="F158" s="22"/>
      <c r="G158" s="28"/>
      <c r="H158" s="304" t="s">
        <v>216</v>
      </c>
      <c r="I158" s="297"/>
      <c r="J158" s="282"/>
      <c r="K158" s="304"/>
      <c r="L158" s="297"/>
      <c r="M158" s="282"/>
      <c r="N158" s="304"/>
      <c r="O158" s="297"/>
      <c r="P158" s="282"/>
      <c r="Q158" s="304"/>
      <c r="R158" s="297"/>
      <c r="S158" s="282"/>
      <c r="T158" s="265"/>
      <c r="U158" s="265"/>
      <c r="V158" s="265"/>
    </row>
    <row r="159">
      <c r="A159" s="37"/>
      <c r="B159" s="470" t="s">
        <v>273</v>
      </c>
      <c r="C159" s="306" t="s">
        <v>221</v>
      </c>
      <c r="D159" s="306" t="s">
        <v>222</v>
      </c>
      <c r="E159" s="301" t="s">
        <v>223</v>
      </c>
      <c r="F159" s="301" t="s">
        <v>224</v>
      </c>
      <c r="G159" s="301" t="s">
        <v>66</v>
      </c>
      <c r="H159" s="301" t="s">
        <v>223</v>
      </c>
      <c r="I159" s="301" t="s">
        <v>224</v>
      </c>
      <c r="J159" s="301" t="s">
        <v>66</v>
      </c>
      <c r="K159" s="301" t="s">
        <v>268</v>
      </c>
      <c r="L159" s="301" t="s">
        <v>269</v>
      </c>
      <c r="M159" s="468" t="s">
        <v>270</v>
      </c>
      <c r="N159" s="297"/>
      <c r="O159" s="282"/>
      <c r="P159" s="301" t="s">
        <v>271</v>
      </c>
      <c r="Q159" s="301"/>
      <c r="R159" s="301"/>
      <c r="S159" s="301"/>
      <c r="T159" s="307" t="s">
        <v>225</v>
      </c>
      <c r="U159" s="421" t="s">
        <v>263</v>
      </c>
      <c r="V159" s="265"/>
    </row>
    <row r="160">
      <c r="A160" s="37"/>
      <c r="B160" s="308"/>
      <c r="C160" s="309">
        <v>1.0</v>
      </c>
      <c r="D160" s="360" t="s">
        <v>167</v>
      </c>
      <c r="E160" s="507">
        <v>16.0</v>
      </c>
      <c r="F160" s="508">
        <v>55.0</v>
      </c>
      <c r="G160" s="509"/>
      <c r="H160" s="507">
        <v>20.0</v>
      </c>
      <c r="I160" s="510">
        <v>50.0</v>
      </c>
      <c r="J160" s="509"/>
      <c r="K160" s="508">
        <v>2.0</v>
      </c>
      <c r="L160" s="507" t="s">
        <v>134</v>
      </c>
      <c r="M160" s="537" t="s">
        <v>124</v>
      </c>
      <c r="O160" s="25"/>
      <c r="P160" s="314">
        <v>3101.0</v>
      </c>
      <c r="Q160" s="318"/>
      <c r="R160" s="316"/>
      <c r="S160" s="318"/>
      <c r="T160" s="319">
        <f t="shared" ref="T160:T165" si="14">(E160*F160)+(H160*I160)</f>
        <v>1880</v>
      </c>
      <c r="U160" s="422"/>
      <c r="V160" s="265"/>
    </row>
    <row r="161">
      <c r="A161" s="37"/>
      <c r="B161" s="308"/>
      <c r="C161" s="330">
        <v>2.0</v>
      </c>
      <c r="D161" s="358" t="s">
        <v>169</v>
      </c>
      <c r="E161" s="516">
        <v>14.0</v>
      </c>
      <c r="F161" s="517">
        <v>15.0</v>
      </c>
      <c r="G161" s="518"/>
      <c r="H161" s="519">
        <v>18.0</v>
      </c>
      <c r="I161" s="520">
        <v>15.0</v>
      </c>
      <c r="J161" s="518"/>
      <c r="K161" s="517" t="s">
        <v>78</v>
      </c>
      <c r="L161" s="519" t="s">
        <v>134</v>
      </c>
      <c r="M161" s="521" t="s">
        <v>73</v>
      </c>
      <c r="O161" s="25"/>
      <c r="P161" s="335">
        <v>3101.0</v>
      </c>
      <c r="Q161" s="336"/>
      <c r="R161" s="338"/>
      <c r="S161" s="336"/>
      <c r="T161" s="319">
        <f t="shared" si="14"/>
        <v>480</v>
      </c>
      <c r="U161" s="422"/>
      <c r="V161" s="265"/>
    </row>
    <row r="162">
      <c r="A162" s="37"/>
      <c r="B162" s="308"/>
      <c r="C162" s="309">
        <v>3.0</v>
      </c>
      <c r="D162" s="360" t="s">
        <v>170</v>
      </c>
      <c r="E162" s="507">
        <v>8.0</v>
      </c>
      <c r="F162" s="572">
        <v>90.0</v>
      </c>
      <c r="G162" s="509"/>
      <c r="H162" s="507">
        <v>8.0</v>
      </c>
      <c r="I162" s="523">
        <v>80.0</v>
      </c>
      <c r="J162" s="509"/>
      <c r="K162" s="508">
        <v>2.0</v>
      </c>
      <c r="L162" s="524">
        <v>45510.0</v>
      </c>
      <c r="M162" s="187"/>
      <c r="O162" s="25"/>
      <c r="P162" s="344"/>
      <c r="Q162" s="318"/>
      <c r="R162" s="346"/>
      <c r="S162" s="318"/>
      <c r="T162" s="319">
        <f t="shared" si="14"/>
        <v>1360</v>
      </c>
      <c r="U162" s="422"/>
      <c r="V162" s="265"/>
    </row>
    <row r="163">
      <c r="A163" s="37"/>
      <c r="B163" s="308"/>
      <c r="C163" s="330">
        <v>4.0</v>
      </c>
      <c r="D163" s="358" t="s">
        <v>171</v>
      </c>
      <c r="E163" s="519">
        <v>10.0</v>
      </c>
      <c r="F163" s="563">
        <v>180.0</v>
      </c>
      <c r="G163" s="518"/>
      <c r="H163" s="519">
        <v>10.0</v>
      </c>
      <c r="I163" s="564">
        <v>180.0</v>
      </c>
      <c r="J163" s="518"/>
      <c r="K163" s="517">
        <v>2.0</v>
      </c>
      <c r="L163" s="526">
        <v>45573.0</v>
      </c>
      <c r="M163" s="527"/>
      <c r="O163" s="25"/>
      <c r="P163" s="339"/>
      <c r="Q163" s="336"/>
      <c r="R163" s="338"/>
      <c r="S163" s="336"/>
      <c r="T163" s="319">
        <f t="shared" si="14"/>
        <v>3600</v>
      </c>
      <c r="U163" s="422"/>
      <c r="V163" s="265"/>
    </row>
    <row r="164">
      <c r="A164" s="37"/>
      <c r="B164" s="308"/>
      <c r="C164" s="309">
        <v>5.0</v>
      </c>
      <c r="D164" s="341" t="s">
        <v>172</v>
      </c>
      <c r="E164" s="529">
        <v>12.0</v>
      </c>
      <c r="F164" s="508">
        <v>70.0</v>
      </c>
      <c r="G164" s="509"/>
      <c r="H164" s="529">
        <v>14.0</v>
      </c>
      <c r="I164" s="510">
        <v>70.0</v>
      </c>
      <c r="J164" s="509"/>
      <c r="K164" s="508" t="s">
        <v>78</v>
      </c>
      <c r="L164" s="530">
        <v>45636.0</v>
      </c>
      <c r="M164" s="537" t="s">
        <v>73</v>
      </c>
      <c r="O164" s="25"/>
      <c r="P164" s="344"/>
      <c r="Q164" s="318"/>
      <c r="R164" s="346"/>
      <c r="S164" s="318"/>
      <c r="T164" s="319">
        <f t="shared" si="14"/>
        <v>1820</v>
      </c>
      <c r="U164" s="422"/>
      <c r="V164" s="265"/>
    </row>
    <row r="165">
      <c r="A165" s="37"/>
      <c r="B165" s="361"/>
      <c r="C165" s="330">
        <v>6.0</v>
      </c>
      <c r="D165" s="358" t="s">
        <v>174</v>
      </c>
      <c r="E165" s="519">
        <v>12.0</v>
      </c>
      <c r="F165" s="517">
        <v>22.5</v>
      </c>
      <c r="G165" s="518"/>
      <c r="H165" s="519">
        <v>10.0</v>
      </c>
      <c r="I165" s="520">
        <v>22.5</v>
      </c>
      <c r="J165" s="518"/>
      <c r="K165" s="517">
        <v>2.0</v>
      </c>
      <c r="L165" s="526">
        <v>45999.0</v>
      </c>
      <c r="M165" s="527"/>
      <c r="O165" s="25"/>
      <c r="P165" s="335">
        <v>3100.0</v>
      </c>
      <c r="Q165" s="462"/>
      <c r="R165" s="462"/>
      <c r="S165" s="462"/>
      <c r="T165" s="319">
        <f t="shared" si="14"/>
        <v>495</v>
      </c>
      <c r="U165" s="422"/>
      <c r="V165" s="265"/>
    </row>
    <row r="166">
      <c r="A166" s="37"/>
      <c r="B166" s="265"/>
      <c r="C166" s="309">
        <v>7.0</v>
      </c>
      <c r="D166" s="360"/>
      <c r="E166" s="259"/>
      <c r="F166" s="383"/>
      <c r="G166" s="318"/>
      <c r="H166" s="343"/>
      <c r="I166" s="342"/>
      <c r="J166" s="344"/>
      <c r="K166" s="481"/>
      <c r="L166" s="566"/>
      <c r="M166" s="100"/>
      <c r="O166" s="25"/>
      <c r="P166" s="472"/>
      <c r="Q166" s="277"/>
      <c r="R166" s="277"/>
      <c r="S166" s="277"/>
      <c r="T166" s="292"/>
      <c r="U166" s="265"/>
      <c r="V166" s="265"/>
    </row>
    <row r="167" ht="25.5" customHeight="1">
      <c r="A167" s="37"/>
      <c r="B167" s="265"/>
      <c r="C167" s="277"/>
      <c r="D167" s="277"/>
      <c r="E167" s="570"/>
      <c r="F167" s="570"/>
      <c r="G167" s="570"/>
      <c r="H167" s="571"/>
      <c r="I167" s="571"/>
      <c r="J167" s="571"/>
      <c r="K167" s="571"/>
      <c r="L167" s="571"/>
      <c r="M167" s="571"/>
      <c r="N167" s="277"/>
      <c r="O167" s="277"/>
      <c r="P167" s="277"/>
      <c r="Q167" s="277"/>
      <c r="R167" s="277"/>
      <c r="S167" s="277"/>
      <c r="T167" s="292"/>
      <c r="U167" s="265"/>
      <c r="V167" s="265"/>
    </row>
    <row r="168">
      <c r="A168" s="37"/>
      <c r="B168" s="265"/>
      <c r="C168" s="294" t="s">
        <v>209</v>
      </c>
      <c r="D168" s="295"/>
      <c r="E168" s="296" t="s">
        <v>241</v>
      </c>
      <c r="F168" s="297"/>
      <c r="G168" s="297"/>
      <c r="H168" s="297"/>
      <c r="I168" s="297"/>
      <c r="J168" s="297"/>
      <c r="K168" s="297"/>
      <c r="L168" s="297"/>
      <c r="M168" s="282"/>
      <c r="N168" s="298" t="s">
        <v>211</v>
      </c>
      <c r="O168" s="268"/>
      <c r="P168" s="57"/>
      <c r="Q168" s="286"/>
      <c r="R168" s="268"/>
      <c r="S168" s="57"/>
      <c r="T168" s="292"/>
      <c r="U168" s="265"/>
      <c r="V168" s="265"/>
    </row>
    <row r="169">
      <c r="A169" s="37"/>
      <c r="B169" s="265"/>
      <c r="C169" s="301" t="s">
        <v>214</v>
      </c>
      <c r="D169" s="372">
        <v>46075.0</v>
      </c>
      <c r="E169" s="303" t="s">
        <v>215</v>
      </c>
      <c r="F169" s="22"/>
      <c r="G169" s="28"/>
      <c r="H169" s="304" t="s">
        <v>216</v>
      </c>
      <c r="I169" s="297"/>
      <c r="J169" s="282"/>
      <c r="K169" s="304"/>
      <c r="L169" s="297"/>
      <c r="M169" s="282"/>
      <c r="N169" s="304"/>
      <c r="O169" s="297"/>
      <c r="P169" s="282"/>
      <c r="Q169" s="304"/>
      <c r="R169" s="297"/>
      <c r="S169" s="282"/>
      <c r="T169" s="265"/>
      <c r="U169" s="265"/>
      <c r="V169" s="265"/>
    </row>
    <row r="170">
      <c r="A170" s="37"/>
      <c r="B170" s="470" t="s">
        <v>274</v>
      </c>
      <c r="C170" s="306" t="s">
        <v>221</v>
      </c>
      <c r="D170" s="306" t="s">
        <v>222</v>
      </c>
      <c r="E170" s="301" t="s">
        <v>223</v>
      </c>
      <c r="F170" s="301" t="s">
        <v>224</v>
      </c>
      <c r="G170" s="301" t="s">
        <v>66</v>
      </c>
      <c r="H170" s="301" t="s">
        <v>223</v>
      </c>
      <c r="I170" s="301" t="s">
        <v>224</v>
      </c>
      <c r="J170" s="301" t="s">
        <v>66</v>
      </c>
      <c r="K170" s="301" t="s">
        <v>268</v>
      </c>
      <c r="L170" s="301" t="s">
        <v>269</v>
      </c>
      <c r="M170" s="468" t="s">
        <v>270</v>
      </c>
      <c r="N170" s="282"/>
      <c r="O170" s="301" t="s">
        <v>271</v>
      </c>
      <c r="P170" s="301"/>
      <c r="Q170" s="301"/>
      <c r="R170" s="301"/>
      <c r="S170" s="301"/>
      <c r="T170" s="307" t="s">
        <v>225</v>
      </c>
      <c r="U170" s="421" t="s">
        <v>263</v>
      </c>
      <c r="V170" s="265"/>
    </row>
    <row r="171">
      <c r="A171" s="37"/>
      <c r="B171" s="308"/>
      <c r="C171" s="309">
        <v>1.0</v>
      </c>
      <c r="D171" s="360" t="s">
        <v>154</v>
      </c>
      <c r="E171" s="413">
        <v>10.0</v>
      </c>
      <c r="F171" s="442">
        <v>20.0</v>
      </c>
      <c r="G171" s="414"/>
      <c r="H171" s="413">
        <v>10.0</v>
      </c>
      <c r="I171" s="442">
        <v>20.0</v>
      </c>
      <c r="J171" s="317"/>
      <c r="K171" s="312">
        <v>2.0</v>
      </c>
      <c r="L171" s="209">
        <v>45573.0</v>
      </c>
      <c r="M171" s="218"/>
      <c r="N171" s="218"/>
      <c r="O171" s="316"/>
      <c r="P171" s="317"/>
      <c r="Q171" s="318"/>
      <c r="R171" s="316"/>
      <c r="S171" s="318"/>
      <c r="T171" s="467">
        <f t="shared" ref="T171:T176" si="15">(E171*F171)+(H171*I171)</f>
        <v>400</v>
      </c>
      <c r="U171" s="422"/>
      <c r="V171" s="265"/>
    </row>
    <row r="172">
      <c r="A172" s="37"/>
      <c r="B172" s="308"/>
      <c r="C172" s="330">
        <v>2.0</v>
      </c>
      <c r="D172" s="358" t="s">
        <v>155</v>
      </c>
      <c r="E172" s="427">
        <v>12.0</v>
      </c>
      <c r="F172" s="427">
        <v>20.0</v>
      </c>
      <c r="G172" s="416"/>
      <c r="H172" s="427">
        <v>11.0</v>
      </c>
      <c r="I172" s="427">
        <v>20.0</v>
      </c>
      <c r="J172" s="339"/>
      <c r="K172" s="333" t="s">
        <v>78</v>
      </c>
      <c r="L172" s="459">
        <v>45636.0</v>
      </c>
      <c r="M172" s="455" t="s">
        <v>73</v>
      </c>
      <c r="O172" s="338"/>
      <c r="P172" s="339"/>
      <c r="Q172" s="336"/>
      <c r="R172" s="338"/>
      <c r="S172" s="336"/>
      <c r="T172" s="467">
        <f t="shared" si="15"/>
        <v>460</v>
      </c>
      <c r="U172" s="422"/>
      <c r="V172" s="265"/>
    </row>
    <row r="173">
      <c r="A173" s="37"/>
      <c r="B173" s="308"/>
      <c r="C173" s="309">
        <v>3.0</v>
      </c>
      <c r="D173" s="360" t="s">
        <v>156</v>
      </c>
      <c r="E173" s="428">
        <v>8.0</v>
      </c>
      <c r="F173" s="428">
        <v>70.0</v>
      </c>
      <c r="G173" s="418"/>
      <c r="H173" s="417">
        <v>8.0</v>
      </c>
      <c r="I173" s="428">
        <v>60.0</v>
      </c>
      <c r="J173" s="344"/>
      <c r="K173" s="342">
        <v>2.0</v>
      </c>
      <c r="L173" s="236">
        <v>45875.0</v>
      </c>
      <c r="M173" s="218"/>
      <c r="N173" s="218"/>
      <c r="O173" s="346"/>
      <c r="P173" s="344"/>
      <c r="Q173" s="318"/>
      <c r="R173" s="346"/>
      <c r="S173" s="318"/>
      <c r="T173" s="467">
        <f t="shared" si="15"/>
        <v>1040</v>
      </c>
      <c r="U173" s="422"/>
      <c r="V173" s="265"/>
    </row>
    <row r="174">
      <c r="A174" s="37"/>
      <c r="B174" s="308"/>
      <c r="C174" s="330">
        <v>4.0</v>
      </c>
      <c r="D174" s="358" t="s">
        <v>159</v>
      </c>
      <c r="E174" s="415">
        <v>12.0</v>
      </c>
      <c r="F174" s="427">
        <v>65.0</v>
      </c>
      <c r="G174" s="416"/>
      <c r="H174" s="427">
        <v>10.0</v>
      </c>
      <c r="I174" s="427">
        <v>65.0</v>
      </c>
      <c r="J174" s="339"/>
      <c r="K174" s="333">
        <v>2.0</v>
      </c>
      <c r="L174" s="459">
        <v>45636.0</v>
      </c>
      <c r="M174" s="462"/>
      <c r="N174" s="462"/>
      <c r="O174" s="338"/>
      <c r="P174" s="339"/>
      <c r="Q174" s="336"/>
      <c r="R174" s="338"/>
      <c r="S174" s="336"/>
      <c r="T174" s="467">
        <f t="shared" si="15"/>
        <v>1430</v>
      </c>
      <c r="U174" s="422"/>
      <c r="V174" s="265"/>
    </row>
    <row r="175">
      <c r="A175" s="37"/>
      <c r="B175" s="308"/>
      <c r="C175" s="309">
        <v>5.0</v>
      </c>
      <c r="D175" s="341" t="s">
        <v>275</v>
      </c>
      <c r="E175" s="428">
        <v>10.0</v>
      </c>
      <c r="F175" s="428">
        <v>45.0</v>
      </c>
      <c r="G175" s="418"/>
      <c r="H175" s="428">
        <v>10.0</v>
      </c>
      <c r="I175" s="428">
        <v>45.0</v>
      </c>
      <c r="J175" s="344"/>
      <c r="K175" s="342">
        <v>2.0</v>
      </c>
      <c r="L175" s="463">
        <v>45938.0</v>
      </c>
      <c r="M175" s="241"/>
      <c r="N175" s="241"/>
      <c r="O175" s="346"/>
      <c r="P175" s="344"/>
      <c r="Q175" s="318"/>
      <c r="R175" s="346"/>
      <c r="S175" s="318"/>
      <c r="T175" s="467">
        <f t="shared" si="15"/>
        <v>900</v>
      </c>
      <c r="U175" s="422"/>
      <c r="V175" s="265"/>
    </row>
    <row r="176">
      <c r="A176" s="37"/>
      <c r="B176" s="361"/>
      <c r="C176" s="330">
        <v>6.0</v>
      </c>
      <c r="D176" s="358" t="s">
        <v>107</v>
      </c>
      <c r="E176" s="427">
        <v>16.0</v>
      </c>
      <c r="F176" s="427">
        <v>9.5</v>
      </c>
      <c r="G176" s="419"/>
      <c r="H176" s="427">
        <v>16.0</v>
      </c>
      <c r="I176" s="489">
        <v>45784.0</v>
      </c>
      <c r="J176" s="339"/>
      <c r="K176" s="338" t="s">
        <v>78</v>
      </c>
      <c r="L176" s="436" t="s">
        <v>134</v>
      </c>
      <c r="M176" s="455" t="s">
        <v>73</v>
      </c>
      <c r="O176" s="338">
        <v>3100.0</v>
      </c>
      <c r="P176" s="462"/>
      <c r="Q176" s="462"/>
      <c r="R176" s="462"/>
      <c r="S176" s="462"/>
      <c r="T176" s="573">
        <f t="shared" si="15"/>
        <v>732696</v>
      </c>
      <c r="U176" s="422"/>
      <c r="V176" s="265"/>
    </row>
    <row r="177">
      <c r="A177" s="37"/>
      <c r="B177" s="37"/>
      <c r="C177" s="309">
        <v>7.0</v>
      </c>
      <c r="D177" s="360" t="s">
        <v>163</v>
      </c>
      <c r="E177" s="428">
        <v>14.0</v>
      </c>
      <c r="F177" s="428">
        <v>5.0</v>
      </c>
      <c r="G177" s="420"/>
      <c r="H177" s="428">
        <v>16.0</v>
      </c>
      <c r="I177" s="428">
        <v>5.0</v>
      </c>
      <c r="J177" s="344"/>
      <c r="K177" s="342" t="s">
        <v>78</v>
      </c>
      <c r="L177" s="244" t="s">
        <v>134</v>
      </c>
      <c r="M177" s="97" t="s">
        <v>73</v>
      </c>
      <c r="O177" s="346">
        <v>3101.0</v>
      </c>
      <c r="P177" s="344"/>
      <c r="Q177" s="318"/>
      <c r="R177" s="346"/>
      <c r="S177" s="318"/>
      <c r="T177" s="37"/>
      <c r="U177" s="37"/>
      <c r="V177" s="37"/>
    </row>
    <row r="178" ht="27.0" customHeight="1">
      <c r="A178" s="37"/>
      <c r="B178" s="265"/>
      <c r="C178" s="277"/>
      <c r="D178" s="277"/>
      <c r="E178" s="565"/>
      <c r="F178" s="565"/>
      <c r="G178" s="565"/>
      <c r="H178" s="565"/>
      <c r="I178" s="565"/>
      <c r="J178" s="565"/>
      <c r="K178" s="488"/>
      <c r="L178" s="277"/>
      <c r="M178" s="271"/>
      <c r="N178" s="277"/>
      <c r="O178" s="277"/>
      <c r="P178" s="277"/>
      <c r="Q178" s="277"/>
      <c r="R178" s="277"/>
      <c r="S178" s="277"/>
      <c r="T178" s="292"/>
      <c r="U178" s="265"/>
      <c r="V178" s="265"/>
    </row>
    <row r="179">
      <c r="A179" s="37"/>
      <c r="B179" s="265"/>
      <c r="C179" s="294" t="s">
        <v>209</v>
      </c>
      <c r="D179" s="295"/>
      <c r="E179" s="296" t="s">
        <v>257</v>
      </c>
      <c r="F179" s="297"/>
      <c r="G179" s="297"/>
      <c r="H179" s="297"/>
      <c r="I179" s="297"/>
      <c r="J179" s="297"/>
      <c r="K179" s="297"/>
      <c r="L179" s="297"/>
      <c r="M179" s="282"/>
      <c r="N179" s="298" t="s">
        <v>211</v>
      </c>
      <c r="O179" s="268"/>
      <c r="P179" s="57"/>
      <c r="Q179" s="286"/>
      <c r="R179" s="268"/>
      <c r="S179" s="57"/>
      <c r="T179" s="292"/>
      <c r="U179" s="265"/>
      <c r="V179" s="265"/>
    </row>
    <row r="180">
      <c r="A180" s="37"/>
      <c r="B180" s="265"/>
      <c r="C180" s="301" t="s">
        <v>214</v>
      </c>
      <c r="D180" s="372">
        <v>46077.0</v>
      </c>
      <c r="E180" s="303" t="s">
        <v>215</v>
      </c>
      <c r="F180" s="22"/>
      <c r="G180" s="28"/>
      <c r="H180" s="304" t="s">
        <v>216</v>
      </c>
      <c r="I180" s="297"/>
      <c r="J180" s="282"/>
      <c r="K180" s="304"/>
      <c r="L180" s="297"/>
      <c r="M180" s="282"/>
      <c r="N180" s="304"/>
      <c r="O180" s="297"/>
      <c r="P180" s="282"/>
      <c r="Q180" s="304"/>
      <c r="R180" s="297"/>
      <c r="S180" s="282"/>
      <c r="T180" s="265"/>
      <c r="U180" s="265"/>
      <c r="V180" s="265"/>
    </row>
    <row r="181">
      <c r="A181" s="37"/>
      <c r="B181" s="456" t="s">
        <v>276</v>
      </c>
      <c r="C181" s="306" t="s">
        <v>221</v>
      </c>
      <c r="D181" s="306" t="s">
        <v>222</v>
      </c>
      <c r="E181" s="301" t="s">
        <v>223</v>
      </c>
      <c r="F181" s="301" t="s">
        <v>224</v>
      </c>
      <c r="G181" s="301" t="s">
        <v>66</v>
      </c>
      <c r="H181" s="301" t="s">
        <v>223</v>
      </c>
      <c r="I181" s="301" t="s">
        <v>224</v>
      </c>
      <c r="J181" s="301" t="s">
        <v>66</v>
      </c>
      <c r="K181" s="301" t="s">
        <v>64</v>
      </c>
      <c r="L181" s="301" t="s">
        <v>223</v>
      </c>
      <c r="M181" s="444" t="s">
        <v>266</v>
      </c>
      <c r="N181" s="282"/>
      <c r="O181" s="301" t="s">
        <v>271</v>
      </c>
      <c r="P181" s="301"/>
      <c r="Q181" s="301"/>
      <c r="R181" s="301"/>
      <c r="S181" s="466"/>
      <c r="T181" s="307" t="s">
        <v>225</v>
      </c>
      <c r="U181" s="421" t="s">
        <v>263</v>
      </c>
      <c r="V181" s="265"/>
    </row>
    <row r="182">
      <c r="A182" s="37"/>
      <c r="B182" s="308"/>
      <c r="C182" s="561">
        <v>1.0</v>
      </c>
      <c r="D182" s="373" t="s">
        <v>127</v>
      </c>
      <c r="E182" s="312">
        <v>14.0</v>
      </c>
      <c r="F182" s="312">
        <v>10.0</v>
      </c>
      <c r="G182" s="318"/>
      <c r="H182" s="313">
        <v>12.0</v>
      </c>
      <c r="I182" s="312">
        <v>10.0</v>
      </c>
      <c r="J182" s="317"/>
      <c r="K182" s="312">
        <v>2.0</v>
      </c>
      <c r="L182" s="312" t="s">
        <v>134</v>
      </c>
      <c r="M182" s="318"/>
      <c r="O182" s="25"/>
      <c r="P182" s="317"/>
      <c r="Q182" s="222"/>
      <c r="R182" s="316"/>
      <c r="S182" s="316"/>
      <c r="T182" s="467">
        <f t="shared" ref="T182:T188" si="16">(E182*F182)+(H182*I182)</f>
        <v>260</v>
      </c>
      <c r="U182" s="422"/>
      <c r="V182" s="265"/>
    </row>
    <row r="183">
      <c r="A183" s="37"/>
      <c r="B183" s="308"/>
      <c r="C183" s="562">
        <v>2.0</v>
      </c>
      <c r="D183" s="377" t="s">
        <v>178</v>
      </c>
      <c r="E183" s="423">
        <v>6.0</v>
      </c>
      <c r="F183" s="333">
        <v>60.0</v>
      </c>
      <c r="G183" s="336"/>
      <c r="H183" s="334">
        <v>8.0</v>
      </c>
      <c r="I183" s="333">
        <v>50.0</v>
      </c>
      <c r="J183" s="339"/>
      <c r="K183" s="339">
        <v>2.0</v>
      </c>
      <c r="L183" s="440">
        <v>45938.0</v>
      </c>
      <c r="M183" s="336"/>
      <c r="O183" s="25"/>
      <c r="P183" s="339"/>
      <c r="Q183" s="436"/>
      <c r="R183" s="338"/>
      <c r="S183" s="338"/>
      <c r="T183" s="467">
        <f t="shared" si="16"/>
        <v>760</v>
      </c>
      <c r="U183" s="422"/>
      <c r="V183" s="265"/>
    </row>
    <row r="184">
      <c r="A184" s="37"/>
      <c r="B184" s="308"/>
      <c r="C184" s="561">
        <v>3.0</v>
      </c>
      <c r="D184" s="382" t="s">
        <v>179</v>
      </c>
      <c r="E184" s="259">
        <v>6.0</v>
      </c>
      <c r="F184" s="383">
        <v>60.0</v>
      </c>
      <c r="G184" s="318"/>
      <c r="H184" s="343">
        <v>6.0</v>
      </c>
      <c r="I184" s="342">
        <v>50.0</v>
      </c>
      <c r="J184" s="344"/>
      <c r="K184" s="481">
        <v>2.0</v>
      </c>
      <c r="L184" s="432">
        <v>45510.0</v>
      </c>
      <c r="M184" s="318"/>
      <c r="O184" s="25"/>
      <c r="P184" s="344"/>
      <c r="Q184" s="209"/>
      <c r="R184" s="346"/>
      <c r="S184" s="346"/>
      <c r="T184" s="467">
        <f t="shared" si="16"/>
        <v>660</v>
      </c>
      <c r="U184" s="422"/>
      <c r="V184" s="265"/>
    </row>
    <row r="185">
      <c r="A185" s="37"/>
      <c r="B185" s="308"/>
      <c r="C185" s="562">
        <v>4.0</v>
      </c>
      <c r="D185" s="377" t="s">
        <v>180</v>
      </c>
      <c r="E185" s="423">
        <v>10.0</v>
      </c>
      <c r="F185" s="379">
        <v>30.0</v>
      </c>
      <c r="G185" s="336"/>
      <c r="H185" s="334">
        <v>10.0</v>
      </c>
      <c r="I185" s="333">
        <v>30.0</v>
      </c>
      <c r="J185" s="339"/>
      <c r="K185" s="339">
        <v>2.0</v>
      </c>
      <c r="L185" s="440">
        <v>45938.0</v>
      </c>
      <c r="M185" s="336"/>
      <c r="O185" s="25"/>
      <c r="P185" s="339"/>
      <c r="Q185" s="459"/>
      <c r="R185" s="338"/>
      <c r="S185" s="338"/>
      <c r="T185" s="467">
        <f t="shared" si="16"/>
        <v>600</v>
      </c>
      <c r="U185" s="422"/>
      <c r="V185" s="265"/>
    </row>
    <row r="186">
      <c r="A186" s="37"/>
      <c r="B186" s="308"/>
      <c r="C186" s="561">
        <v>5.0</v>
      </c>
      <c r="D186" s="382" t="s">
        <v>141</v>
      </c>
      <c r="E186" s="259">
        <v>14.0</v>
      </c>
      <c r="F186" s="383">
        <v>15.0</v>
      </c>
      <c r="G186" s="318"/>
      <c r="H186" s="343">
        <v>8.0</v>
      </c>
      <c r="I186" s="342">
        <v>15.0</v>
      </c>
      <c r="J186" s="344"/>
      <c r="K186" s="481" t="s">
        <v>78</v>
      </c>
      <c r="L186" s="566" t="s">
        <v>108</v>
      </c>
      <c r="M186" s="100" t="s">
        <v>73</v>
      </c>
      <c r="O186" s="25"/>
      <c r="P186" s="344">
        <v>3101.0</v>
      </c>
      <c r="Q186" s="239"/>
      <c r="R186" s="346"/>
      <c r="S186" s="346"/>
      <c r="T186" s="467">
        <f t="shared" si="16"/>
        <v>330</v>
      </c>
      <c r="U186" s="422"/>
      <c r="V186" s="265"/>
    </row>
    <row r="187">
      <c r="A187" s="37"/>
      <c r="B187" s="308"/>
      <c r="C187" s="562">
        <v>6.0</v>
      </c>
      <c r="D187" s="331" t="s">
        <v>139</v>
      </c>
      <c r="E187" s="423">
        <v>12.0</v>
      </c>
      <c r="F187" s="379">
        <v>30.0</v>
      </c>
      <c r="G187" s="336"/>
      <c r="H187" s="334">
        <v>14.0</v>
      </c>
      <c r="I187" s="333">
        <v>30.0</v>
      </c>
      <c r="J187" s="339"/>
      <c r="K187" s="339" t="s">
        <v>78</v>
      </c>
      <c r="L187" s="440">
        <v>45999.0</v>
      </c>
      <c r="M187" s="336" t="s">
        <v>97</v>
      </c>
      <c r="O187" s="25"/>
      <c r="P187" s="339"/>
      <c r="Q187" s="424"/>
      <c r="R187" s="338"/>
      <c r="S187" s="338"/>
      <c r="T187" s="467">
        <f t="shared" si="16"/>
        <v>780</v>
      </c>
      <c r="U187" s="422"/>
      <c r="V187" s="265"/>
    </row>
    <row r="188">
      <c r="A188" s="37"/>
      <c r="B188" s="361"/>
      <c r="C188" s="309">
        <v>7.0</v>
      </c>
      <c r="D188" s="382" t="s">
        <v>88</v>
      </c>
      <c r="E188" s="259">
        <v>13.0</v>
      </c>
      <c r="F188" s="383">
        <v>10.0</v>
      </c>
      <c r="G188" s="318"/>
      <c r="H188" s="343">
        <v>11.0</v>
      </c>
      <c r="I188" s="342">
        <v>8.0</v>
      </c>
      <c r="J188" s="344"/>
      <c r="K188" s="481" t="s">
        <v>78</v>
      </c>
      <c r="L188" s="566" t="s">
        <v>108</v>
      </c>
      <c r="M188" s="100" t="s">
        <v>73</v>
      </c>
      <c r="O188" s="25"/>
      <c r="P188" s="472">
        <v>3101.0</v>
      </c>
      <c r="Q188" s="239"/>
      <c r="R188" s="346"/>
      <c r="S188" s="261"/>
      <c r="T188" s="467">
        <f t="shared" si="16"/>
        <v>218</v>
      </c>
      <c r="U188" s="422"/>
      <c r="V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37"/>
      <c r="B190" s="265"/>
      <c r="C190" s="294" t="s">
        <v>209</v>
      </c>
      <c r="D190" s="295"/>
      <c r="E190" s="296" t="s">
        <v>244</v>
      </c>
      <c r="F190" s="297"/>
      <c r="G190" s="297"/>
      <c r="H190" s="297"/>
      <c r="I190" s="297"/>
      <c r="J190" s="297"/>
      <c r="K190" s="297"/>
      <c r="L190" s="297"/>
      <c r="M190" s="282"/>
      <c r="N190" s="298" t="s">
        <v>211</v>
      </c>
      <c r="O190" s="268"/>
      <c r="P190" s="57"/>
      <c r="Q190" s="286"/>
      <c r="R190" s="268"/>
      <c r="S190" s="57"/>
      <c r="T190" s="292"/>
      <c r="U190" s="265"/>
      <c r="V190" s="265"/>
    </row>
    <row r="191">
      <c r="A191" s="37"/>
      <c r="B191" s="265"/>
      <c r="C191" s="301" t="s">
        <v>214</v>
      </c>
      <c r="D191" s="372">
        <v>46079.0</v>
      </c>
      <c r="E191" s="303" t="s">
        <v>215</v>
      </c>
      <c r="F191" s="22"/>
      <c r="G191" s="28"/>
      <c r="H191" s="304" t="s">
        <v>216</v>
      </c>
      <c r="I191" s="297"/>
      <c r="J191" s="282"/>
      <c r="K191" s="304"/>
      <c r="L191" s="297"/>
      <c r="M191" s="282"/>
      <c r="N191" s="304"/>
      <c r="O191" s="297"/>
      <c r="P191" s="282"/>
      <c r="Q191" s="304"/>
      <c r="R191" s="297"/>
      <c r="S191" s="282"/>
      <c r="T191" s="265"/>
      <c r="U191" s="265"/>
      <c r="V191" s="265"/>
    </row>
    <row r="192">
      <c r="A192" s="37"/>
      <c r="B192" s="456" t="s">
        <v>278</v>
      </c>
      <c r="C192" s="306" t="s">
        <v>221</v>
      </c>
      <c r="D192" s="306" t="s">
        <v>222</v>
      </c>
      <c r="E192" s="301" t="s">
        <v>223</v>
      </c>
      <c r="F192" s="301" t="s">
        <v>224</v>
      </c>
      <c r="G192" s="301" t="s">
        <v>66</v>
      </c>
      <c r="H192" s="301" t="s">
        <v>223</v>
      </c>
      <c r="I192" s="301" t="s">
        <v>224</v>
      </c>
      <c r="J192" s="301" t="s">
        <v>66</v>
      </c>
      <c r="K192" s="301" t="s">
        <v>64</v>
      </c>
      <c r="L192" s="301" t="s">
        <v>223</v>
      </c>
      <c r="M192" s="444" t="s">
        <v>266</v>
      </c>
      <c r="N192" s="282"/>
      <c r="O192" s="301" t="s">
        <v>271</v>
      </c>
      <c r="P192" s="301"/>
      <c r="Q192" s="301"/>
      <c r="R192" s="301"/>
      <c r="S192" s="301"/>
      <c r="T192" s="307" t="s">
        <v>225</v>
      </c>
      <c r="U192" s="421" t="s">
        <v>263</v>
      </c>
      <c r="V192" s="265"/>
    </row>
    <row r="193">
      <c r="A193" s="37"/>
      <c r="B193" s="308"/>
      <c r="C193" s="561">
        <v>1.0</v>
      </c>
      <c r="D193" s="373" t="s">
        <v>167</v>
      </c>
      <c r="E193" s="374">
        <v>12.0</v>
      </c>
      <c r="F193" s="375">
        <v>60.0</v>
      </c>
      <c r="G193" s="384"/>
      <c r="H193" s="376">
        <v>12.0</v>
      </c>
      <c r="I193" s="375">
        <v>60.0</v>
      </c>
      <c r="J193" s="317"/>
      <c r="K193" s="317">
        <v>2.0</v>
      </c>
      <c r="L193" s="209">
        <v>45634.0</v>
      </c>
      <c r="M193" s="100" t="s">
        <v>124</v>
      </c>
      <c r="O193" s="25"/>
      <c r="P193" s="472">
        <v>3101.0</v>
      </c>
      <c r="Q193" s="222"/>
      <c r="R193" s="316"/>
      <c r="S193" s="316"/>
      <c r="T193" s="319">
        <f t="shared" ref="T193:T199" si="17">(E193*F193)+(H193*I193)</f>
        <v>1440</v>
      </c>
      <c r="U193" s="422"/>
      <c r="V193" s="265"/>
    </row>
    <row r="194">
      <c r="A194" s="37"/>
      <c r="B194" s="308"/>
      <c r="C194" s="562">
        <v>2.0</v>
      </c>
      <c r="D194" s="377" t="s">
        <v>189</v>
      </c>
      <c r="E194" s="378">
        <v>12.0</v>
      </c>
      <c r="F194" s="379">
        <v>30.0</v>
      </c>
      <c r="G194" s="380"/>
      <c r="H194" s="381">
        <v>12.0</v>
      </c>
      <c r="I194" s="379">
        <v>20.0</v>
      </c>
      <c r="J194" s="339"/>
      <c r="K194" s="335" t="s">
        <v>78</v>
      </c>
      <c r="L194" s="440">
        <v>46001.0</v>
      </c>
      <c r="M194" s="336" t="s">
        <v>97</v>
      </c>
      <c r="O194" s="25"/>
      <c r="P194" s="339">
        <v>3101.0</v>
      </c>
      <c r="Q194" s="436"/>
      <c r="R194" s="338"/>
      <c r="S194" s="338"/>
      <c r="T194" s="319">
        <f t="shared" si="17"/>
        <v>600</v>
      </c>
      <c r="U194" s="422"/>
      <c r="V194" s="265"/>
    </row>
    <row r="195">
      <c r="A195" s="37"/>
      <c r="B195" s="308"/>
      <c r="C195" s="561">
        <v>3.0</v>
      </c>
      <c r="D195" s="382" t="s">
        <v>277</v>
      </c>
      <c r="E195" s="374">
        <v>16.0</v>
      </c>
      <c r="F195" s="383">
        <v>60.0</v>
      </c>
      <c r="G195" s="384"/>
      <c r="H195" s="385">
        <v>16.0</v>
      </c>
      <c r="I195" s="383">
        <v>50.0</v>
      </c>
      <c r="J195" s="344"/>
      <c r="K195" s="344" t="s">
        <v>78</v>
      </c>
      <c r="L195" s="437" t="s">
        <v>134</v>
      </c>
      <c r="M195" s="100" t="s">
        <v>97</v>
      </c>
      <c r="O195" s="25"/>
      <c r="P195" s="473">
        <v>3001.0</v>
      </c>
      <c r="Q195" s="209"/>
      <c r="R195" s="346"/>
      <c r="S195" s="346"/>
      <c r="T195" s="319">
        <f t="shared" si="17"/>
        <v>1760</v>
      </c>
      <c r="U195" s="422"/>
      <c r="V195" s="265"/>
    </row>
    <row r="196">
      <c r="A196" s="37"/>
      <c r="B196" s="308"/>
      <c r="C196" s="562">
        <v>4.0</v>
      </c>
      <c r="D196" s="377" t="s">
        <v>191</v>
      </c>
      <c r="E196" s="378">
        <v>10.0</v>
      </c>
      <c r="F196" s="379">
        <v>120.0</v>
      </c>
      <c r="G196" s="380"/>
      <c r="H196" s="439">
        <v>9.0</v>
      </c>
      <c r="I196" s="379">
        <v>120.0</v>
      </c>
      <c r="J196" s="339"/>
      <c r="K196" s="339">
        <v>2.0</v>
      </c>
      <c r="L196" s="440">
        <v>45938.0</v>
      </c>
      <c r="M196" s="332"/>
      <c r="N196" s="332"/>
      <c r="O196" s="335"/>
      <c r="P196" s="339">
        <v>3001.0</v>
      </c>
      <c r="Q196" s="459"/>
      <c r="R196" s="338"/>
      <c r="S196" s="338"/>
      <c r="T196" s="319">
        <f t="shared" si="17"/>
        <v>2280</v>
      </c>
      <c r="U196" s="422"/>
      <c r="V196" s="265"/>
    </row>
    <row r="197">
      <c r="A197" s="37"/>
      <c r="B197" s="308"/>
      <c r="C197" s="561">
        <v>5.0</v>
      </c>
      <c r="D197" s="382" t="s">
        <v>192</v>
      </c>
      <c r="E197" s="374">
        <v>6.0</v>
      </c>
      <c r="F197" s="383">
        <v>80.0</v>
      </c>
      <c r="G197" s="384"/>
      <c r="H197" s="385">
        <v>8.0</v>
      </c>
      <c r="I197" s="383">
        <v>70.0</v>
      </c>
      <c r="J197" s="344"/>
      <c r="K197" s="344">
        <v>2.0</v>
      </c>
      <c r="L197" s="432">
        <v>45510.0</v>
      </c>
      <c r="M197" s="218"/>
      <c r="O197" s="25"/>
      <c r="P197" s="473"/>
      <c r="Q197" s="239"/>
      <c r="R197" s="346"/>
      <c r="S197" s="346"/>
      <c r="T197" s="319">
        <f t="shared" si="17"/>
        <v>1040</v>
      </c>
      <c r="U197" s="422"/>
      <c r="V197" s="265"/>
    </row>
    <row r="198">
      <c r="A198" s="37"/>
      <c r="B198" s="308"/>
      <c r="C198" s="562">
        <v>6.0</v>
      </c>
      <c r="D198" s="331" t="s">
        <v>267</v>
      </c>
      <c r="E198" s="378">
        <v>12.0</v>
      </c>
      <c r="F198" s="379">
        <v>40.0</v>
      </c>
      <c r="G198" s="380"/>
      <c r="H198" s="381">
        <v>8.0</v>
      </c>
      <c r="I198" s="379">
        <v>40.0</v>
      </c>
      <c r="J198" s="339"/>
      <c r="K198" s="339" t="s">
        <v>113</v>
      </c>
      <c r="L198" s="474">
        <v>45999.0</v>
      </c>
      <c r="M198" s="337" t="s">
        <v>97</v>
      </c>
      <c r="O198" s="25"/>
      <c r="P198" s="338">
        <v>3202.0</v>
      </c>
      <c r="Q198" s="424"/>
      <c r="R198" s="338"/>
      <c r="S198" s="338"/>
      <c r="T198" s="319">
        <f t="shared" si="17"/>
        <v>800</v>
      </c>
      <c r="U198" s="422"/>
      <c r="V198" s="265"/>
    </row>
    <row r="199">
      <c r="A199" s="37"/>
      <c r="B199" s="361"/>
      <c r="C199" s="561">
        <v>7.0</v>
      </c>
      <c r="D199" s="506"/>
      <c r="E199" s="508"/>
      <c r="F199" s="508"/>
      <c r="G199" s="509"/>
      <c r="H199" s="508"/>
      <c r="I199" s="508"/>
      <c r="J199" s="509"/>
      <c r="K199" s="508"/>
      <c r="L199" s="508"/>
      <c r="M199" s="511"/>
      <c r="O199" s="25"/>
      <c r="P199" s="346"/>
      <c r="Q199" s="342"/>
      <c r="R199" s="342"/>
      <c r="S199" s="342"/>
      <c r="T199" s="319">
        <f t="shared" si="17"/>
        <v>0</v>
      </c>
      <c r="U199" s="422"/>
      <c r="V199" s="265"/>
    </row>
    <row r="200">
      <c r="A200" s="37"/>
      <c r="B200" s="569">
        <v>1.0</v>
      </c>
      <c r="C200" s="265"/>
      <c r="D200" s="265"/>
      <c r="E200" s="265"/>
      <c r="F200" s="265"/>
      <c r="G200" s="265"/>
      <c r="H200" s="265"/>
      <c r="I200" s="265"/>
      <c r="J200" s="265"/>
      <c r="K200" s="292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</row>
    <row r="201">
      <c r="A201" s="37"/>
      <c r="B201" s="265"/>
      <c r="C201" s="294" t="s">
        <v>209</v>
      </c>
      <c r="D201" s="295"/>
      <c r="E201" s="296" t="s">
        <v>248</v>
      </c>
      <c r="F201" s="297"/>
      <c r="G201" s="297"/>
      <c r="H201" s="297"/>
      <c r="I201" s="297"/>
      <c r="J201" s="297"/>
      <c r="K201" s="297"/>
      <c r="L201" s="297"/>
      <c r="M201" s="282"/>
      <c r="N201" s="298" t="s">
        <v>211</v>
      </c>
      <c r="O201" s="268"/>
      <c r="P201" s="57"/>
      <c r="Q201" s="286"/>
      <c r="R201" s="268"/>
      <c r="S201" s="57"/>
      <c r="T201" s="292"/>
      <c r="U201" s="265"/>
      <c r="V201" s="265"/>
    </row>
    <row r="202">
      <c r="A202" s="37"/>
      <c r="B202" s="265"/>
      <c r="C202" s="301" t="s">
        <v>214</v>
      </c>
      <c r="D202" s="372">
        <v>46080.0</v>
      </c>
      <c r="E202" s="303" t="s">
        <v>215</v>
      </c>
      <c r="F202" s="22"/>
      <c r="G202" s="28"/>
      <c r="H202" s="304" t="s">
        <v>216</v>
      </c>
      <c r="I202" s="297"/>
      <c r="J202" s="282"/>
      <c r="K202" s="304"/>
      <c r="L202" s="297"/>
      <c r="M202" s="282"/>
      <c r="N202" s="304"/>
      <c r="O202" s="297"/>
      <c r="P202" s="282"/>
      <c r="Q202" s="304"/>
      <c r="R202" s="297"/>
      <c r="S202" s="282"/>
      <c r="T202" s="265"/>
      <c r="U202" s="265"/>
      <c r="V202" s="265"/>
    </row>
    <row r="203">
      <c r="A203" s="37"/>
      <c r="B203" s="456" t="s">
        <v>279</v>
      </c>
      <c r="C203" s="306" t="s">
        <v>221</v>
      </c>
      <c r="D203" s="306" t="s">
        <v>222</v>
      </c>
      <c r="E203" s="301" t="s">
        <v>223</v>
      </c>
      <c r="F203" s="301" t="s">
        <v>224</v>
      </c>
      <c r="G203" s="301" t="s">
        <v>66</v>
      </c>
      <c r="H203" s="301" t="s">
        <v>223</v>
      </c>
      <c r="I203" s="301" t="s">
        <v>224</v>
      </c>
      <c r="J203" s="301" t="s">
        <v>66</v>
      </c>
      <c r="K203" s="301" t="s">
        <v>268</v>
      </c>
      <c r="L203" s="301" t="s">
        <v>269</v>
      </c>
      <c r="M203" s="468" t="s">
        <v>270</v>
      </c>
      <c r="N203" s="282"/>
      <c r="O203" s="301" t="s">
        <v>271</v>
      </c>
      <c r="P203" s="301"/>
      <c r="Q203" s="468"/>
      <c r="R203" s="297"/>
      <c r="S203" s="282"/>
      <c r="T203" s="307" t="s">
        <v>225</v>
      </c>
      <c r="U203" s="421" t="s">
        <v>263</v>
      </c>
      <c r="V203" s="265"/>
    </row>
    <row r="204">
      <c r="A204" s="37"/>
      <c r="B204" s="308"/>
      <c r="C204" s="309">
        <v>1.0</v>
      </c>
      <c r="D204" s="373" t="s">
        <v>130</v>
      </c>
      <c r="E204" s="259">
        <v>12.0</v>
      </c>
      <c r="F204" s="375">
        <v>12.0</v>
      </c>
      <c r="G204" s="384"/>
      <c r="H204" s="376">
        <v>12.0</v>
      </c>
      <c r="I204" s="375">
        <v>12.0</v>
      </c>
      <c r="J204" s="315"/>
      <c r="K204" s="316">
        <v>2.0</v>
      </c>
      <c r="L204" s="236">
        <v>45999.0</v>
      </c>
      <c r="M204" s="345"/>
      <c r="N204" s="25"/>
      <c r="O204" s="316"/>
      <c r="P204" s="316"/>
      <c r="Q204" s="485"/>
      <c r="R204" s="491"/>
      <c r="S204" s="472"/>
      <c r="T204" s="467">
        <f t="shared" ref="T204:T210" si="18">(E204*F204)+(H204*I204)</f>
        <v>288</v>
      </c>
      <c r="U204" s="422"/>
      <c r="V204" s="265"/>
    </row>
    <row r="205">
      <c r="A205" s="37"/>
      <c r="B205" s="308"/>
      <c r="C205" s="330">
        <v>2.0</v>
      </c>
      <c r="D205" s="377" t="s">
        <v>183</v>
      </c>
      <c r="E205" s="423">
        <v>16.0</v>
      </c>
      <c r="F205" s="379">
        <v>15.0</v>
      </c>
      <c r="G205" s="380"/>
      <c r="H205" s="381">
        <v>17.0</v>
      </c>
      <c r="I205" s="379">
        <v>15.0</v>
      </c>
      <c r="J205" s="337"/>
      <c r="K205" s="338" t="s">
        <v>78</v>
      </c>
      <c r="L205" s="436" t="s">
        <v>134</v>
      </c>
      <c r="M205" s="337" t="s">
        <v>73</v>
      </c>
      <c r="N205" s="25"/>
      <c r="O205" s="338">
        <v>3101.0</v>
      </c>
      <c r="P205" s="338"/>
      <c r="Q205" s="336"/>
      <c r="R205" s="339"/>
      <c r="S205" s="339"/>
      <c r="T205" s="467">
        <f t="shared" si="18"/>
        <v>495</v>
      </c>
      <c r="U205" s="422"/>
      <c r="V205" s="265"/>
    </row>
    <row r="206">
      <c r="A206" s="37"/>
      <c r="B206" s="308"/>
      <c r="C206" s="309">
        <v>3.0</v>
      </c>
      <c r="D206" s="382" t="s">
        <v>131</v>
      </c>
      <c r="E206" s="259">
        <v>12.0</v>
      </c>
      <c r="F206" s="383">
        <v>50.0</v>
      </c>
      <c r="H206" s="385">
        <v>9.0</v>
      </c>
      <c r="I206" s="383">
        <v>50.0</v>
      </c>
      <c r="J206" s="345"/>
      <c r="K206" s="346">
        <v>2.0</v>
      </c>
      <c r="L206" s="236">
        <v>46001.0</v>
      </c>
      <c r="M206" s="345"/>
      <c r="N206" s="25"/>
      <c r="O206" s="346"/>
      <c r="P206" s="346"/>
      <c r="Q206" s="485"/>
      <c r="R206" s="491"/>
      <c r="S206" s="473"/>
      <c r="T206" s="467">
        <f t="shared" si="18"/>
        <v>1050</v>
      </c>
      <c r="U206" s="422"/>
      <c r="V206" s="265"/>
    </row>
    <row r="207">
      <c r="A207" s="37"/>
      <c r="B207" s="308"/>
      <c r="C207" s="330">
        <v>4.0</v>
      </c>
      <c r="D207" s="377" t="s">
        <v>106</v>
      </c>
      <c r="E207" s="423">
        <v>10.0</v>
      </c>
      <c r="F207" s="379">
        <v>60.0</v>
      </c>
      <c r="G207" s="380"/>
      <c r="H207" s="381">
        <v>8.0</v>
      </c>
      <c r="I207" s="379">
        <v>60.0</v>
      </c>
      <c r="J207" s="337"/>
      <c r="K207" s="338">
        <v>2.0</v>
      </c>
      <c r="L207" s="459">
        <v>45573.0</v>
      </c>
      <c r="M207" s="337"/>
      <c r="N207" s="25"/>
      <c r="O207" s="338">
        <v>3101.0</v>
      </c>
      <c r="P207" s="338"/>
      <c r="Q207" s="332"/>
      <c r="R207" s="335"/>
      <c r="S207" s="339"/>
      <c r="T207" s="467">
        <f t="shared" si="18"/>
        <v>1080</v>
      </c>
      <c r="U207" s="422"/>
      <c r="V207" s="265"/>
    </row>
    <row r="208">
      <c r="A208" s="37"/>
      <c r="B208" s="308"/>
      <c r="C208" s="309">
        <v>5.0</v>
      </c>
      <c r="D208" s="382" t="s">
        <v>185</v>
      </c>
      <c r="E208" s="244">
        <v>12.0</v>
      </c>
      <c r="F208" s="383">
        <v>80.0</v>
      </c>
      <c r="G208" s="384"/>
      <c r="H208" s="385">
        <v>10.0</v>
      </c>
      <c r="I208" s="383">
        <v>80.0</v>
      </c>
      <c r="J208" s="345"/>
      <c r="K208" s="346">
        <v>2.0</v>
      </c>
      <c r="L208" s="239">
        <v>45636.0</v>
      </c>
      <c r="M208" s="345"/>
      <c r="N208" s="25"/>
      <c r="O208" s="346"/>
      <c r="P208" s="346"/>
      <c r="Q208" s="228"/>
      <c r="R208" s="418"/>
      <c r="S208" s="473"/>
      <c r="T208" s="467">
        <f t="shared" si="18"/>
        <v>1760</v>
      </c>
      <c r="U208" s="422"/>
      <c r="V208" s="265"/>
    </row>
    <row r="209">
      <c r="A209" s="37"/>
      <c r="B209" s="308"/>
      <c r="C209" s="330">
        <v>6.0</v>
      </c>
      <c r="D209" s="331" t="s">
        <v>186</v>
      </c>
      <c r="E209" s="423">
        <v>12.0</v>
      </c>
      <c r="F209" s="379">
        <v>70.0</v>
      </c>
      <c r="G209" s="380"/>
      <c r="H209" s="381">
        <v>12.0</v>
      </c>
      <c r="I209" s="379">
        <v>60.0</v>
      </c>
      <c r="J209" s="337"/>
      <c r="K209" s="338">
        <v>2.0</v>
      </c>
      <c r="L209" s="424">
        <v>46001.0</v>
      </c>
      <c r="M209" s="337"/>
      <c r="N209" s="25"/>
      <c r="O209" s="338"/>
      <c r="P209" s="338"/>
      <c r="Q209" s="336"/>
      <c r="R209" s="339"/>
      <c r="S209" s="338"/>
      <c r="T209" s="467">
        <f t="shared" si="18"/>
        <v>1560</v>
      </c>
      <c r="U209" s="422"/>
      <c r="V209" s="265"/>
    </row>
    <row r="210">
      <c r="A210" s="37"/>
      <c r="B210" s="361"/>
      <c r="C210" s="309">
        <v>7.0</v>
      </c>
      <c r="D210" s="382" t="s">
        <v>187</v>
      </c>
      <c r="E210" s="259">
        <v>12.0</v>
      </c>
      <c r="F210" s="342">
        <v>15.0</v>
      </c>
      <c r="G210" s="318"/>
      <c r="H210" s="343">
        <v>10.0</v>
      </c>
      <c r="I210" s="342">
        <v>15.0</v>
      </c>
      <c r="J210" s="345"/>
      <c r="K210" s="346" t="s">
        <v>78</v>
      </c>
      <c r="L210" s="236">
        <v>45999.0</v>
      </c>
      <c r="M210" s="100" t="s">
        <v>73</v>
      </c>
      <c r="O210" s="261">
        <v>3101.0</v>
      </c>
      <c r="P210" s="342"/>
      <c r="Q210" s="485"/>
      <c r="S210" s="25"/>
      <c r="T210" s="467">
        <f t="shared" si="18"/>
        <v>330</v>
      </c>
      <c r="U210" s="422"/>
      <c r="V210" s="265"/>
    </row>
    <row r="211">
      <c r="A211" s="37"/>
      <c r="B211" s="569">
        <v>1.0</v>
      </c>
      <c r="C211" s="265"/>
      <c r="D211" s="265"/>
      <c r="E211" s="265"/>
      <c r="F211" s="265"/>
      <c r="G211" s="265"/>
      <c r="H211" s="265"/>
      <c r="I211" s="265"/>
      <c r="J211" s="265"/>
      <c r="K211" s="292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</row>
  </sheetData>
  <mergeCells count="368"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K11:L11"/>
    <mergeCell ref="E14:M14"/>
    <mergeCell ref="N14:P14"/>
    <mergeCell ref="Q14:S14"/>
    <mergeCell ref="C14:D14"/>
    <mergeCell ref="E15:G15"/>
    <mergeCell ref="H15:J15"/>
    <mergeCell ref="K15:M15"/>
    <mergeCell ref="N15:P15"/>
    <mergeCell ref="Q15:S15"/>
    <mergeCell ref="Q16:S16"/>
    <mergeCell ref="M23:O23"/>
    <mergeCell ref="E25:M25"/>
    <mergeCell ref="E26:G26"/>
    <mergeCell ref="H26:J26"/>
    <mergeCell ref="K26:M26"/>
    <mergeCell ref="N26:P26"/>
    <mergeCell ref="M16:O16"/>
    <mergeCell ref="M17:O17"/>
    <mergeCell ref="M18:O18"/>
    <mergeCell ref="M19:O19"/>
    <mergeCell ref="M20:O20"/>
    <mergeCell ref="M21:O21"/>
    <mergeCell ref="M22:O22"/>
    <mergeCell ref="A1:B7"/>
    <mergeCell ref="C3:D4"/>
    <mergeCell ref="E3:F4"/>
    <mergeCell ref="I3:L4"/>
    <mergeCell ref="M3:N4"/>
    <mergeCell ref="G6:H6"/>
    <mergeCell ref="M6:N6"/>
    <mergeCell ref="E6:F6"/>
    <mergeCell ref="C7:D7"/>
    <mergeCell ref="E7:F7"/>
    <mergeCell ref="C8:D8"/>
    <mergeCell ref="E8:F8"/>
    <mergeCell ref="C9:D9"/>
    <mergeCell ref="E9:F9"/>
    <mergeCell ref="E37:G37"/>
    <mergeCell ref="H37:J37"/>
    <mergeCell ref="K37:M37"/>
    <mergeCell ref="N37:P37"/>
    <mergeCell ref="M29:O29"/>
    <mergeCell ref="M30:O30"/>
    <mergeCell ref="M31:O31"/>
    <mergeCell ref="M32:O32"/>
    <mergeCell ref="M33:O33"/>
    <mergeCell ref="M34:O34"/>
    <mergeCell ref="E36:M36"/>
    <mergeCell ref="N48:P48"/>
    <mergeCell ref="M49:N49"/>
    <mergeCell ref="E47:M47"/>
    <mergeCell ref="N47:P47"/>
    <mergeCell ref="Q47:S47"/>
    <mergeCell ref="E48:G48"/>
    <mergeCell ref="H48:J48"/>
    <mergeCell ref="K48:M48"/>
    <mergeCell ref="Q48:S48"/>
    <mergeCell ref="M67:O67"/>
    <mergeCell ref="E69:M69"/>
    <mergeCell ref="N59:P59"/>
    <mergeCell ref="M60:N60"/>
    <mergeCell ref="M61:O61"/>
    <mergeCell ref="M62:O62"/>
    <mergeCell ref="M63:O63"/>
    <mergeCell ref="M65:O65"/>
    <mergeCell ref="M66:O66"/>
    <mergeCell ref="E124:M124"/>
    <mergeCell ref="N124:P124"/>
    <mergeCell ref="Q124:S124"/>
    <mergeCell ref="E125:G125"/>
    <mergeCell ref="H125:J125"/>
    <mergeCell ref="K125:M125"/>
    <mergeCell ref="N125:P125"/>
    <mergeCell ref="Q125:S125"/>
    <mergeCell ref="M116:O116"/>
    <mergeCell ref="M117:O117"/>
    <mergeCell ref="M118:O118"/>
    <mergeCell ref="M119:O119"/>
    <mergeCell ref="M120:O120"/>
    <mergeCell ref="M121:O121"/>
    <mergeCell ref="M122:O122"/>
    <mergeCell ref="Q136:S136"/>
    <mergeCell ref="Q137:S137"/>
    <mergeCell ref="Q144:S144"/>
    <mergeCell ref="Q146:S146"/>
    <mergeCell ref="Q147:S147"/>
    <mergeCell ref="Q148:S148"/>
    <mergeCell ref="E135:M135"/>
    <mergeCell ref="N135:P135"/>
    <mergeCell ref="Q135:S135"/>
    <mergeCell ref="E136:G136"/>
    <mergeCell ref="H136:J136"/>
    <mergeCell ref="K136:M136"/>
    <mergeCell ref="N136:P136"/>
    <mergeCell ref="M126:N126"/>
    <mergeCell ref="M127:O127"/>
    <mergeCell ref="M128:O128"/>
    <mergeCell ref="M129:O129"/>
    <mergeCell ref="M131:O131"/>
    <mergeCell ref="M132:O132"/>
    <mergeCell ref="M133:O133"/>
    <mergeCell ref="M144:N144"/>
    <mergeCell ref="E146:M146"/>
    <mergeCell ref="N146:P146"/>
    <mergeCell ref="E147:G147"/>
    <mergeCell ref="H147:J147"/>
    <mergeCell ref="K147:M147"/>
    <mergeCell ref="N147:P147"/>
    <mergeCell ref="M155:O155"/>
    <mergeCell ref="E157:M157"/>
    <mergeCell ref="N157:P157"/>
    <mergeCell ref="Q157:S157"/>
    <mergeCell ref="E158:G158"/>
    <mergeCell ref="H158:J158"/>
    <mergeCell ref="K158:M158"/>
    <mergeCell ref="N158:P158"/>
    <mergeCell ref="Q158:S158"/>
    <mergeCell ref="M159:O159"/>
    <mergeCell ref="M160:O160"/>
    <mergeCell ref="M161:O161"/>
    <mergeCell ref="M162:O162"/>
    <mergeCell ref="M163:O163"/>
    <mergeCell ref="H169:J169"/>
    <mergeCell ref="K169:M169"/>
    <mergeCell ref="E179:M179"/>
    <mergeCell ref="E180:G180"/>
    <mergeCell ref="H180:J180"/>
    <mergeCell ref="K180:M180"/>
    <mergeCell ref="M164:O164"/>
    <mergeCell ref="M165:O165"/>
    <mergeCell ref="M166:O166"/>
    <mergeCell ref="E168:M168"/>
    <mergeCell ref="N168:P168"/>
    <mergeCell ref="Q168:S168"/>
    <mergeCell ref="E169:G169"/>
    <mergeCell ref="N169:P169"/>
    <mergeCell ref="Q169:S169"/>
    <mergeCell ref="M170:N170"/>
    <mergeCell ref="M172:N172"/>
    <mergeCell ref="M176:N176"/>
    <mergeCell ref="M177:N177"/>
    <mergeCell ref="Q179:S179"/>
    <mergeCell ref="N179:P179"/>
    <mergeCell ref="N180:P180"/>
    <mergeCell ref="Q180:S180"/>
    <mergeCell ref="M181:N181"/>
    <mergeCell ref="M182:O182"/>
    <mergeCell ref="M183:O183"/>
    <mergeCell ref="M184:O184"/>
    <mergeCell ref="M185:O185"/>
    <mergeCell ref="M186:O186"/>
    <mergeCell ref="M187:O187"/>
    <mergeCell ref="M188:O188"/>
    <mergeCell ref="E190:M190"/>
    <mergeCell ref="N190:P190"/>
    <mergeCell ref="Q190:S190"/>
    <mergeCell ref="E191:G191"/>
    <mergeCell ref="H191:J191"/>
    <mergeCell ref="K191:M191"/>
    <mergeCell ref="N191:P191"/>
    <mergeCell ref="Q191:S191"/>
    <mergeCell ref="M192:N192"/>
    <mergeCell ref="M193:O193"/>
    <mergeCell ref="N36:P36"/>
    <mergeCell ref="Q36:S36"/>
    <mergeCell ref="Q37:S37"/>
    <mergeCell ref="M38:N38"/>
    <mergeCell ref="M40:N40"/>
    <mergeCell ref="M44:N44"/>
    <mergeCell ref="M45:N45"/>
    <mergeCell ref="M50:O50"/>
    <mergeCell ref="M51:O51"/>
    <mergeCell ref="M52:O52"/>
    <mergeCell ref="M53:O53"/>
    <mergeCell ref="M54:O54"/>
    <mergeCell ref="M55:O55"/>
    <mergeCell ref="M56:O56"/>
    <mergeCell ref="B27:B34"/>
    <mergeCell ref="C36:D36"/>
    <mergeCell ref="B38:B45"/>
    <mergeCell ref="C47:D47"/>
    <mergeCell ref="B49:B56"/>
    <mergeCell ref="C58:D58"/>
    <mergeCell ref="C69:D69"/>
    <mergeCell ref="B137:B144"/>
    <mergeCell ref="B148:B155"/>
    <mergeCell ref="B159:B165"/>
    <mergeCell ref="B170:B176"/>
    <mergeCell ref="B181:B188"/>
    <mergeCell ref="B192:B199"/>
    <mergeCell ref="B203:B210"/>
    <mergeCell ref="B60:B67"/>
    <mergeCell ref="B71:B78"/>
    <mergeCell ref="B82:B89"/>
    <mergeCell ref="B93:B99"/>
    <mergeCell ref="B104:B110"/>
    <mergeCell ref="B115:B122"/>
    <mergeCell ref="B126:B133"/>
    <mergeCell ref="C157:D157"/>
    <mergeCell ref="C168:D168"/>
    <mergeCell ref="C179:D179"/>
    <mergeCell ref="C190:D190"/>
    <mergeCell ref="C201:D201"/>
    <mergeCell ref="C80:D80"/>
    <mergeCell ref="C91:D91"/>
    <mergeCell ref="C102:D102"/>
    <mergeCell ref="C113:D113"/>
    <mergeCell ref="C124:D124"/>
    <mergeCell ref="C135:D135"/>
    <mergeCell ref="C146:D146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K7:L7"/>
    <mergeCell ref="M7:N7"/>
    <mergeCell ref="O7:P7"/>
    <mergeCell ref="Q7:R7"/>
    <mergeCell ref="G9:H9"/>
    <mergeCell ref="I9:J9"/>
    <mergeCell ref="K9:L9"/>
    <mergeCell ref="M9:N9"/>
    <mergeCell ref="O9:P9"/>
    <mergeCell ref="Q9:R9"/>
    <mergeCell ref="B16:B23"/>
    <mergeCell ref="C25:D25"/>
    <mergeCell ref="N25:P25"/>
    <mergeCell ref="Q25:S25"/>
    <mergeCell ref="Q26:S26"/>
    <mergeCell ref="M27:O27"/>
    <mergeCell ref="M28:O28"/>
    <mergeCell ref="E58:M58"/>
    <mergeCell ref="N58:P58"/>
    <mergeCell ref="Q58:S58"/>
    <mergeCell ref="E59:G59"/>
    <mergeCell ref="H59:J59"/>
    <mergeCell ref="K59:M59"/>
    <mergeCell ref="Q59:S59"/>
    <mergeCell ref="N69:P69"/>
    <mergeCell ref="Q69:S69"/>
    <mergeCell ref="E70:G70"/>
    <mergeCell ref="H70:J70"/>
    <mergeCell ref="K70:M70"/>
    <mergeCell ref="N70:P70"/>
    <mergeCell ref="Q70:S70"/>
    <mergeCell ref="E103:G103"/>
    <mergeCell ref="H103:J103"/>
    <mergeCell ref="K103:M103"/>
    <mergeCell ref="N103:P103"/>
    <mergeCell ref="Q103:S103"/>
    <mergeCell ref="M104:N104"/>
    <mergeCell ref="N102:P102"/>
    <mergeCell ref="Q102:S102"/>
    <mergeCell ref="M106:N106"/>
    <mergeCell ref="M110:N110"/>
    <mergeCell ref="M111:N111"/>
    <mergeCell ref="N113:P113"/>
    <mergeCell ref="Q113:S113"/>
    <mergeCell ref="M71:N71"/>
    <mergeCell ref="M72:N72"/>
    <mergeCell ref="M73:N73"/>
    <mergeCell ref="M74:N74"/>
    <mergeCell ref="M75:N75"/>
    <mergeCell ref="M76:N76"/>
    <mergeCell ref="M77:N77"/>
    <mergeCell ref="M78:N78"/>
    <mergeCell ref="E80:M80"/>
    <mergeCell ref="N80:P80"/>
    <mergeCell ref="Q80:S80"/>
    <mergeCell ref="E81:G81"/>
    <mergeCell ref="H81:J81"/>
    <mergeCell ref="K81:M81"/>
    <mergeCell ref="N81:P81"/>
    <mergeCell ref="Q81:S81"/>
    <mergeCell ref="M82:O82"/>
    <mergeCell ref="Q82:S82"/>
    <mergeCell ref="M83:O83"/>
    <mergeCell ref="M84:O84"/>
    <mergeCell ref="M85:O85"/>
    <mergeCell ref="M86:O86"/>
    <mergeCell ref="M87:O87"/>
    <mergeCell ref="M88:O88"/>
    <mergeCell ref="M89:O89"/>
    <mergeCell ref="E91:M91"/>
    <mergeCell ref="N91:P91"/>
    <mergeCell ref="Q91:S91"/>
    <mergeCell ref="E92:G92"/>
    <mergeCell ref="H92:J92"/>
    <mergeCell ref="K92:M92"/>
    <mergeCell ref="N92:P92"/>
    <mergeCell ref="Q92:S92"/>
    <mergeCell ref="M93:O93"/>
    <mergeCell ref="M94:O94"/>
    <mergeCell ref="M95:O95"/>
    <mergeCell ref="M96:O96"/>
    <mergeCell ref="M97:O97"/>
    <mergeCell ref="M98:O98"/>
    <mergeCell ref="M99:O99"/>
    <mergeCell ref="M100:O100"/>
    <mergeCell ref="E102:M102"/>
    <mergeCell ref="E113:M113"/>
    <mergeCell ref="E114:G114"/>
    <mergeCell ref="H114:J114"/>
    <mergeCell ref="K114:M114"/>
    <mergeCell ref="N114:P114"/>
    <mergeCell ref="Q114:S114"/>
    <mergeCell ref="M115:N115"/>
    <mergeCell ref="M137:N137"/>
    <mergeCell ref="M138:N138"/>
    <mergeCell ref="M139:N139"/>
    <mergeCell ref="M140:N140"/>
    <mergeCell ref="M141:N141"/>
    <mergeCell ref="M142:N142"/>
    <mergeCell ref="M143:N143"/>
    <mergeCell ref="M148:O148"/>
    <mergeCell ref="M149:O149"/>
    <mergeCell ref="M150:O150"/>
    <mergeCell ref="M151:O151"/>
    <mergeCell ref="M152:O152"/>
    <mergeCell ref="M153:O153"/>
    <mergeCell ref="M154:O154"/>
    <mergeCell ref="E201:M201"/>
    <mergeCell ref="E202:G202"/>
    <mergeCell ref="H202:J202"/>
    <mergeCell ref="K202:M202"/>
    <mergeCell ref="N202:P202"/>
    <mergeCell ref="Q202:S202"/>
    <mergeCell ref="M194:O194"/>
    <mergeCell ref="M195:O195"/>
    <mergeCell ref="M197:O197"/>
    <mergeCell ref="M198:O198"/>
    <mergeCell ref="M199:O199"/>
    <mergeCell ref="N201:P201"/>
    <mergeCell ref="Q201:S201"/>
    <mergeCell ref="M209:N209"/>
    <mergeCell ref="M210:N210"/>
    <mergeCell ref="Q210:S210"/>
    <mergeCell ref="M203:N203"/>
    <mergeCell ref="Q203:S203"/>
    <mergeCell ref="M204:N204"/>
    <mergeCell ref="M205:N205"/>
    <mergeCell ref="M206:N206"/>
    <mergeCell ref="M207:N207"/>
    <mergeCell ref="M208:N208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6 Q47 Q57:S57 Q58 Q69 Q80 Q91 Q100:S101 Q102 Q112:S112 Q113 Q124 Q135 Q146 Q157 Q166:S167 Q168 Q178:S178 Q179 Q190 Q201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2.63"/>
    <col customWidth="1" min="4" max="4" width="55.88"/>
    <col customWidth="1" min="7" max="7" width="11.13"/>
    <col customWidth="1" min="20" max="20" width="18.88"/>
    <col customWidth="1" min="21" max="21" width="18.13"/>
  </cols>
  <sheetData>
    <row r="1">
      <c r="A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</row>
    <row r="2"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6"/>
      <c r="V2" s="266"/>
    </row>
    <row r="3">
      <c r="C3" s="267" t="s">
        <v>193</v>
      </c>
      <c r="D3" s="268"/>
      <c r="E3" s="269"/>
      <c r="F3" s="270"/>
      <c r="G3" s="271"/>
      <c r="H3" s="264"/>
      <c r="I3" s="272" t="s">
        <v>194</v>
      </c>
      <c r="J3" s="273"/>
      <c r="K3" s="273"/>
      <c r="L3" s="270"/>
      <c r="M3" s="274"/>
      <c r="N3" s="270"/>
      <c r="O3" s="265"/>
      <c r="P3" s="265"/>
      <c r="Q3" s="265"/>
      <c r="R3" s="265"/>
      <c r="S3" s="265"/>
      <c r="T3" s="265"/>
      <c r="U3" s="266"/>
      <c r="V3" s="266"/>
    </row>
    <row r="4" ht="30.0" customHeight="1">
      <c r="C4" s="275"/>
      <c r="D4" s="276"/>
      <c r="E4" s="27"/>
      <c r="F4" s="28"/>
      <c r="G4" s="277"/>
      <c r="H4" s="264"/>
      <c r="I4" s="27"/>
      <c r="J4" s="22"/>
      <c r="K4" s="22"/>
      <c r="L4" s="28"/>
      <c r="M4" s="22"/>
      <c r="N4" s="28"/>
      <c r="O4" s="265"/>
      <c r="P4" s="264"/>
      <c r="Q4" s="264"/>
      <c r="R4" s="264"/>
      <c r="S4" s="264"/>
      <c r="T4" s="264"/>
      <c r="U4" s="266"/>
      <c r="V4" s="266"/>
    </row>
    <row r="5"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4"/>
      <c r="Q5" s="264"/>
      <c r="R5" s="264"/>
      <c r="S5" s="264"/>
      <c r="T5" s="264"/>
      <c r="U5" s="266"/>
      <c r="V5" s="266"/>
    </row>
    <row r="6">
      <c r="C6" s="265"/>
      <c r="D6" s="265"/>
      <c r="E6" s="278" t="s">
        <v>195</v>
      </c>
      <c r="F6" s="57"/>
      <c r="G6" s="278" t="s">
        <v>196</v>
      </c>
      <c r="H6" s="57"/>
      <c r="I6" s="278" t="s">
        <v>197</v>
      </c>
      <c r="J6" s="57"/>
      <c r="K6" s="278" t="s">
        <v>198</v>
      </c>
      <c r="L6" s="57"/>
      <c r="M6" s="278" t="s">
        <v>199</v>
      </c>
      <c r="N6" s="57"/>
      <c r="O6" s="278" t="s">
        <v>200</v>
      </c>
      <c r="P6" s="57"/>
      <c r="Q6" s="279" t="s">
        <v>201</v>
      </c>
      <c r="R6" s="280"/>
      <c r="S6" s="265"/>
      <c r="T6" s="265"/>
      <c r="U6" s="266"/>
      <c r="V6" s="266"/>
    </row>
    <row r="7">
      <c r="C7" s="281" t="s">
        <v>202</v>
      </c>
      <c r="D7" s="282"/>
      <c r="E7" s="283"/>
      <c r="F7" s="282"/>
      <c r="G7" s="284"/>
      <c r="H7" s="282"/>
      <c r="I7" s="283"/>
      <c r="J7" s="282"/>
      <c r="K7" s="284"/>
      <c r="L7" s="282"/>
      <c r="M7" s="284"/>
      <c r="N7" s="282"/>
      <c r="O7" s="284"/>
      <c r="P7" s="282"/>
      <c r="Q7" s="284"/>
      <c r="R7" s="282"/>
      <c r="S7" s="265"/>
      <c r="T7" s="265"/>
      <c r="U7" s="266"/>
      <c r="V7" s="266"/>
    </row>
    <row r="8">
      <c r="A8" s="264"/>
      <c r="B8" s="265"/>
      <c r="C8" s="287" t="s">
        <v>204</v>
      </c>
      <c r="D8" s="282"/>
      <c r="E8" s="288"/>
      <c r="F8" s="282"/>
      <c r="G8" s="289"/>
      <c r="H8" s="282"/>
      <c r="I8" s="288"/>
      <c r="J8" s="282"/>
      <c r="K8" s="289"/>
      <c r="L8" s="282"/>
      <c r="M8" s="289"/>
      <c r="N8" s="282"/>
      <c r="O8" s="289"/>
      <c r="P8" s="282"/>
      <c r="Q8" s="289"/>
      <c r="R8" s="282"/>
      <c r="S8" s="265"/>
      <c r="T8" s="265"/>
      <c r="U8" s="264"/>
      <c r="V8" s="264"/>
    </row>
    <row r="9">
      <c r="A9" s="264"/>
      <c r="B9" s="265"/>
      <c r="C9" s="281" t="s">
        <v>205</v>
      </c>
      <c r="D9" s="282"/>
      <c r="E9" s="283"/>
      <c r="F9" s="282"/>
      <c r="G9" s="284"/>
      <c r="H9" s="282"/>
      <c r="I9" s="283"/>
      <c r="J9" s="282"/>
      <c r="K9" s="284"/>
      <c r="L9" s="282"/>
      <c r="M9" s="284"/>
      <c r="N9" s="282"/>
      <c r="O9" s="284"/>
      <c r="P9" s="282"/>
      <c r="Q9" s="284"/>
      <c r="R9" s="282"/>
      <c r="S9" s="265"/>
      <c r="T9" s="265"/>
      <c r="U9" s="264"/>
      <c r="V9" s="264"/>
    </row>
    <row r="10">
      <c r="A10" s="264"/>
      <c r="B10" s="265"/>
      <c r="C10" s="287" t="s">
        <v>206</v>
      </c>
      <c r="D10" s="282"/>
      <c r="E10" s="288"/>
      <c r="F10" s="282"/>
      <c r="G10" s="289"/>
      <c r="H10" s="282"/>
      <c r="I10" s="288"/>
      <c r="J10" s="282"/>
      <c r="K10" s="289"/>
      <c r="L10" s="282"/>
      <c r="M10" s="289"/>
      <c r="N10" s="282"/>
      <c r="O10" s="289"/>
      <c r="P10" s="282"/>
      <c r="Q10" s="289"/>
      <c r="R10" s="282"/>
      <c r="S10" s="265"/>
      <c r="T10" s="265"/>
      <c r="U10" s="264"/>
      <c r="V10" s="264"/>
    </row>
    <row r="11">
      <c r="A11" s="264"/>
      <c r="B11" s="265"/>
      <c r="C11" s="281" t="s">
        <v>207</v>
      </c>
      <c r="D11" s="282"/>
      <c r="E11" s="283"/>
      <c r="F11" s="282"/>
      <c r="G11" s="284"/>
      <c r="H11" s="282"/>
      <c r="I11" s="283"/>
      <c r="J11" s="282"/>
      <c r="K11" s="284"/>
      <c r="L11" s="282"/>
      <c r="M11" s="284"/>
      <c r="N11" s="282"/>
      <c r="O11" s="284"/>
      <c r="P11" s="282"/>
      <c r="Q11" s="284"/>
      <c r="R11" s="282"/>
      <c r="S11" s="265"/>
      <c r="T11" s="265"/>
      <c r="U11" s="264"/>
      <c r="V11" s="264"/>
    </row>
    <row r="12">
      <c r="A12" s="264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4"/>
      <c r="N12" s="264"/>
      <c r="O12" s="264"/>
      <c r="P12" s="264"/>
      <c r="Q12" s="264"/>
      <c r="R12" s="264"/>
      <c r="S12" s="265"/>
      <c r="T12" s="265"/>
      <c r="U12" s="265"/>
      <c r="V12" s="265"/>
    </row>
    <row r="13">
      <c r="A13" s="264"/>
      <c r="B13" s="265"/>
      <c r="C13" s="265"/>
      <c r="D13" s="265"/>
      <c r="E13" s="265"/>
      <c r="F13" s="265"/>
      <c r="G13" s="265"/>
      <c r="H13" s="265"/>
      <c r="I13" s="292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</row>
    <row r="14">
      <c r="A14" s="37"/>
      <c r="B14" s="265"/>
      <c r="C14" s="294" t="s">
        <v>209</v>
      </c>
      <c r="D14" s="295"/>
      <c r="E14" s="296" t="s">
        <v>233</v>
      </c>
      <c r="F14" s="297"/>
      <c r="G14" s="297"/>
      <c r="H14" s="297"/>
      <c r="I14" s="297"/>
      <c r="J14" s="297"/>
      <c r="K14" s="297"/>
      <c r="L14" s="297"/>
      <c r="M14" s="282"/>
      <c r="N14" s="298" t="s">
        <v>211</v>
      </c>
      <c r="O14" s="268"/>
      <c r="P14" s="57"/>
      <c r="Q14" s="286"/>
      <c r="R14" s="268"/>
      <c r="S14" s="57"/>
      <c r="T14" s="292"/>
      <c r="U14" s="265"/>
      <c r="V14" s="265"/>
    </row>
    <row r="15">
      <c r="A15" s="37"/>
      <c r="B15" s="265"/>
      <c r="C15" s="301" t="s">
        <v>214</v>
      </c>
      <c r="D15" s="372">
        <v>46083.0</v>
      </c>
      <c r="E15" s="303" t="s">
        <v>215</v>
      </c>
      <c r="F15" s="22"/>
      <c r="G15" s="28"/>
      <c r="H15" s="304" t="s">
        <v>216</v>
      </c>
      <c r="I15" s="297"/>
      <c r="J15" s="282"/>
      <c r="K15" s="304"/>
      <c r="L15" s="297"/>
      <c r="M15" s="282"/>
      <c r="N15" s="304"/>
      <c r="O15" s="297"/>
      <c r="P15" s="282"/>
      <c r="Q15" s="304"/>
      <c r="R15" s="297"/>
      <c r="S15" s="282"/>
      <c r="T15" s="265"/>
      <c r="U15" s="265"/>
      <c r="V15" s="265"/>
    </row>
    <row r="16">
      <c r="A16" s="37"/>
      <c r="B16" s="456" t="s">
        <v>220</v>
      </c>
      <c r="C16" s="306" t="s">
        <v>221</v>
      </c>
      <c r="D16" s="306" t="s">
        <v>222</v>
      </c>
      <c r="E16" s="301" t="s">
        <v>223</v>
      </c>
      <c r="F16" s="301" t="s">
        <v>224</v>
      </c>
      <c r="G16" s="301" t="s">
        <v>66</v>
      </c>
      <c r="H16" s="301" t="s">
        <v>223</v>
      </c>
      <c r="I16" s="301" t="s">
        <v>224</v>
      </c>
      <c r="J16" s="301" t="s">
        <v>66</v>
      </c>
      <c r="K16" s="301" t="s">
        <v>268</v>
      </c>
      <c r="L16" s="301" t="s">
        <v>269</v>
      </c>
      <c r="M16" s="468" t="s">
        <v>270</v>
      </c>
      <c r="N16" s="297"/>
      <c r="O16" s="282"/>
      <c r="P16" s="301" t="s">
        <v>271</v>
      </c>
      <c r="Q16" s="468"/>
      <c r="R16" s="297"/>
      <c r="S16" s="282"/>
      <c r="T16" s="307" t="s">
        <v>225</v>
      </c>
      <c r="U16" s="421" t="s">
        <v>263</v>
      </c>
      <c r="V16" s="265"/>
    </row>
    <row r="17">
      <c r="A17" s="37"/>
      <c r="B17" s="308"/>
      <c r="C17" s="309">
        <v>1.0</v>
      </c>
      <c r="D17" s="360" t="s">
        <v>104</v>
      </c>
      <c r="E17" s="510">
        <v>12.0</v>
      </c>
      <c r="F17" s="508">
        <v>10.0</v>
      </c>
      <c r="G17" s="509"/>
      <c r="H17" s="510">
        <v>12.0</v>
      </c>
      <c r="I17" s="508">
        <v>10.0</v>
      </c>
      <c r="J17" s="509"/>
      <c r="K17" s="508">
        <v>2.0</v>
      </c>
      <c r="L17" s="524">
        <v>45634.0</v>
      </c>
      <c r="M17" s="537" t="s">
        <v>124</v>
      </c>
      <c r="O17" s="25"/>
      <c r="P17" s="472"/>
      <c r="Q17" s="472"/>
      <c r="R17" s="472"/>
      <c r="S17" s="472"/>
      <c r="T17" s="467">
        <f t="shared" ref="T17:T23" si="1">(E17*F17)+(H17*I17)</f>
        <v>240</v>
      </c>
      <c r="U17" s="422"/>
      <c r="V17" s="265"/>
    </row>
    <row r="18">
      <c r="A18" s="37"/>
      <c r="B18" s="308"/>
      <c r="C18" s="330">
        <v>2.0</v>
      </c>
      <c r="D18" s="358" t="s">
        <v>145</v>
      </c>
      <c r="E18" s="520">
        <v>10.0</v>
      </c>
      <c r="F18" s="563">
        <v>70.0</v>
      </c>
      <c r="G18" s="518"/>
      <c r="H18" s="520">
        <v>8.0</v>
      </c>
      <c r="I18" s="517">
        <v>70.0</v>
      </c>
      <c r="J18" s="518"/>
      <c r="K18" s="517">
        <v>2.0</v>
      </c>
      <c r="L18" s="539">
        <v>45938.0</v>
      </c>
      <c r="M18" s="527"/>
      <c r="O18" s="25"/>
      <c r="P18" s="339"/>
      <c r="Q18" s="339"/>
      <c r="R18" s="339"/>
      <c r="S18" s="339"/>
      <c r="T18" s="467">
        <f t="shared" si="1"/>
        <v>1260</v>
      </c>
      <c r="U18" s="422"/>
      <c r="V18" s="265"/>
    </row>
    <row r="19">
      <c r="A19" s="37"/>
      <c r="B19" s="308"/>
      <c r="C19" s="309">
        <v>3.0</v>
      </c>
      <c r="D19" s="360" t="s">
        <v>146</v>
      </c>
      <c r="E19" s="523">
        <v>9.0</v>
      </c>
      <c r="F19" s="572">
        <v>26.0</v>
      </c>
      <c r="G19" s="509"/>
      <c r="H19" s="510">
        <v>7.0</v>
      </c>
      <c r="I19" s="572">
        <v>26.0</v>
      </c>
      <c r="J19" s="509"/>
      <c r="K19" s="508">
        <v>2.0</v>
      </c>
      <c r="L19" s="524">
        <v>45509.0</v>
      </c>
      <c r="M19" s="187"/>
      <c r="O19" s="25"/>
      <c r="P19" s="473"/>
      <c r="Q19" s="473"/>
      <c r="R19" s="473"/>
      <c r="S19" s="473"/>
      <c r="T19" s="467">
        <f t="shared" si="1"/>
        <v>416</v>
      </c>
      <c r="U19" s="422"/>
      <c r="V19" s="265"/>
    </row>
    <row r="20">
      <c r="A20" s="37"/>
      <c r="B20" s="308"/>
      <c r="C20" s="330">
        <v>4.0</v>
      </c>
      <c r="D20" s="358" t="s">
        <v>76</v>
      </c>
      <c r="E20" s="564">
        <v>14.0</v>
      </c>
      <c r="F20" s="563">
        <v>7.5</v>
      </c>
      <c r="G20" s="518"/>
      <c r="H20" s="520">
        <v>16.0</v>
      </c>
      <c r="I20" s="517">
        <v>7.5</v>
      </c>
      <c r="J20" s="518"/>
      <c r="K20" s="517" t="s">
        <v>78</v>
      </c>
      <c r="L20" s="517" t="s">
        <v>108</v>
      </c>
      <c r="M20" s="541" t="s">
        <v>97</v>
      </c>
      <c r="O20" s="25"/>
      <c r="P20" s="542">
        <v>3101.0</v>
      </c>
      <c r="Q20" s="339"/>
      <c r="R20" s="339"/>
      <c r="S20" s="339"/>
      <c r="T20" s="467">
        <f t="shared" si="1"/>
        <v>225</v>
      </c>
      <c r="U20" s="422"/>
      <c r="V20" s="265"/>
    </row>
    <row r="21">
      <c r="A21" s="37"/>
      <c r="B21" s="308"/>
      <c r="C21" s="309">
        <v>5.0</v>
      </c>
      <c r="D21" s="341" t="s">
        <v>147</v>
      </c>
      <c r="E21" s="510">
        <v>14.0</v>
      </c>
      <c r="F21" s="572">
        <v>5.0</v>
      </c>
      <c r="G21" s="509"/>
      <c r="H21" s="510">
        <v>16.0</v>
      </c>
      <c r="I21" s="508">
        <v>5.0</v>
      </c>
      <c r="J21" s="509"/>
      <c r="K21" s="508" t="s">
        <v>78</v>
      </c>
      <c r="L21" s="507" t="s">
        <v>134</v>
      </c>
      <c r="M21" s="537" t="s">
        <v>73</v>
      </c>
      <c r="O21" s="25"/>
      <c r="P21" s="543">
        <v>3101.0</v>
      </c>
      <c r="Q21" s="473"/>
      <c r="R21" s="473"/>
      <c r="S21" s="473"/>
      <c r="T21" s="467">
        <f t="shared" si="1"/>
        <v>150</v>
      </c>
      <c r="U21" s="422"/>
      <c r="V21" s="265"/>
    </row>
    <row r="22">
      <c r="A22" s="37"/>
      <c r="B22" s="308"/>
      <c r="C22" s="330">
        <v>6.0</v>
      </c>
      <c r="D22" s="358" t="s">
        <v>149</v>
      </c>
      <c r="E22" s="520">
        <v>12.0</v>
      </c>
      <c r="F22" s="563">
        <v>22.5</v>
      </c>
      <c r="G22" s="518"/>
      <c r="H22" s="520">
        <v>12.0</v>
      </c>
      <c r="I22" s="563">
        <v>22.5</v>
      </c>
      <c r="J22" s="518"/>
      <c r="K22" s="517">
        <v>2.0</v>
      </c>
      <c r="L22" s="539">
        <v>45999.0</v>
      </c>
      <c r="M22" s="527"/>
      <c r="O22" s="25"/>
      <c r="P22" s="542">
        <v>3101.0</v>
      </c>
      <c r="Q22" s="338"/>
      <c r="R22" s="338"/>
      <c r="S22" s="338"/>
      <c r="T22" s="467">
        <f t="shared" si="1"/>
        <v>540</v>
      </c>
      <c r="U22" s="422"/>
      <c r="V22" s="265"/>
    </row>
    <row r="23" ht="36.0" customHeight="1">
      <c r="A23" s="37"/>
      <c r="B23" s="361"/>
      <c r="C23" s="309">
        <v>7.0</v>
      </c>
      <c r="D23" s="360" t="s">
        <v>151</v>
      </c>
      <c r="E23" s="508">
        <v>12.0</v>
      </c>
      <c r="F23" s="508">
        <v>5.0</v>
      </c>
      <c r="G23" s="509"/>
      <c r="H23" s="508">
        <v>16.0</v>
      </c>
      <c r="I23" s="508">
        <v>4.5</v>
      </c>
      <c r="J23" s="509"/>
      <c r="K23" s="508" t="s">
        <v>78</v>
      </c>
      <c r="L23" s="508" t="s">
        <v>134</v>
      </c>
      <c r="M23" s="511" t="s">
        <v>73</v>
      </c>
      <c r="O23" s="25"/>
      <c r="P23" s="543">
        <v>3200.0</v>
      </c>
      <c r="Q23" s="473"/>
      <c r="R23" s="473"/>
      <c r="S23" s="473"/>
      <c r="T23" s="467">
        <f t="shared" si="1"/>
        <v>132</v>
      </c>
      <c r="U23" s="422"/>
      <c r="V23" s="265"/>
    </row>
    <row r="24" ht="34.5" customHeight="1">
      <c r="A24" s="37"/>
      <c r="B24" s="265"/>
      <c r="C24" s="265"/>
      <c r="D24" s="265"/>
      <c r="E24" s="265"/>
      <c r="F24" s="265"/>
      <c r="G24" s="265"/>
      <c r="H24" s="265"/>
      <c r="I24" s="265"/>
      <c r="J24" s="292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>
      <c r="A25" s="37"/>
      <c r="B25" s="265"/>
      <c r="C25" s="294" t="s">
        <v>209</v>
      </c>
      <c r="D25" s="295"/>
      <c r="E25" s="296" t="s">
        <v>241</v>
      </c>
      <c r="F25" s="297"/>
      <c r="G25" s="297"/>
      <c r="H25" s="297"/>
      <c r="I25" s="297"/>
      <c r="J25" s="297"/>
      <c r="K25" s="297"/>
      <c r="L25" s="297"/>
      <c r="M25" s="282"/>
      <c r="N25" s="298" t="s">
        <v>211</v>
      </c>
      <c r="O25" s="268"/>
      <c r="P25" s="57"/>
      <c r="Q25" s="286"/>
      <c r="R25" s="268"/>
      <c r="S25" s="57"/>
      <c r="T25" s="292"/>
      <c r="U25" s="265"/>
      <c r="V25" s="265"/>
    </row>
    <row r="26">
      <c r="A26" s="37"/>
      <c r="B26" s="265"/>
      <c r="C26" s="301" t="s">
        <v>214</v>
      </c>
      <c r="D26" s="372">
        <v>46084.0</v>
      </c>
      <c r="E26" s="303" t="s">
        <v>215</v>
      </c>
      <c r="F26" s="22"/>
      <c r="G26" s="28"/>
      <c r="H26" s="304" t="s">
        <v>216</v>
      </c>
      <c r="I26" s="297"/>
      <c r="J26" s="282"/>
      <c r="K26" s="304"/>
      <c r="L26" s="297"/>
      <c r="M26" s="282"/>
      <c r="N26" s="304"/>
      <c r="O26" s="297"/>
      <c r="P26" s="282"/>
      <c r="Q26" s="304"/>
      <c r="R26" s="297"/>
      <c r="S26" s="282"/>
      <c r="T26" s="265"/>
      <c r="U26" s="265"/>
      <c r="V26" s="265"/>
    </row>
    <row r="27">
      <c r="A27" s="37"/>
      <c r="B27" s="456" t="s">
        <v>234</v>
      </c>
      <c r="C27" s="306" t="s">
        <v>221</v>
      </c>
      <c r="D27" s="306" t="s">
        <v>222</v>
      </c>
      <c r="E27" s="301" t="s">
        <v>223</v>
      </c>
      <c r="F27" s="301" t="s">
        <v>224</v>
      </c>
      <c r="G27" s="301" t="s">
        <v>66</v>
      </c>
      <c r="H27" s="301" t="s">
        <v>223</v>
      </c>
      <c r="I27" s="301" t="s">
        <v>224</v>
      </c>
      <c r="J27" s="301" t="s">
        <v>66</v>
      </c>
      <c r="K27" s="301" t="s">
        <v>268</v>
      </c>
      <c r="L27" s="301" t="s">
        <v>269</v>
      </c>
      <c r="M27" s="468" t="s">
        <v>270</v>
      </c>
      <c r="N27" s="282"/>
      <c r="O27" s="301" t="s">
        <v>271</v>
      </c>
      <c r="P27" s="301"/>
      <c r="Q27" s="301"/>
      <c r="R27" s="301"/>
      <c r="S27" s="301"/>
      <c r="T27" s="307" t="s">
        <v>225</v>
      </c>
      <c r="U27" s="421" t="s">
        <v>263</v>
      </c>
      <c r="V27" s="265"/>
    </row>
    <row r="28">
      <c r="A28" s="37"/>
      <c r="B28" s="308"/>
      <c r="C28" s="309">
        <v>1.0</v>
      </c>
      <c r="D28" s="360" t="s">
        <v>154</v>
      </c>
      <c r="E28" s="413">
        <v>10.0</v>
      </c>
      <c r="F28" s="442">
        <v>20.0</v>
      </c>
      <c r="G28" s="414"/>
      <c r="H28" s="413">
        <v>10.0</v>
      </c>
      <c r="I28" s="442">
        <v>20.0</v>
      </c>
      <c r="J28" s="317"/>
      <c r="K28" s="312">
        <v>2.0</v>
      </c>
      <c r="L28" s="209">
        <v>45573.0</v>
      </c>
      <c r="M28" s="218"/>
      <c r="N28" s="218"/>
      <c r="O28" s="316"/>
      <c r="P28" s="317"/>
      <c r="Q28" s="318"/>
      <c r="R28" s="316"/>
      <c r="S28" s="318"/>
      <c r="T28" s="319">
        <f t="shared" ref="T28:T34" si="2">(E28*F28)+(H28*I28)</f>
        <v>400</v>
      </c>
      <c r="U28" s="422"/>
      <c r="V28" s="265"/>
    </row>
    <row r="29">
      <c r="A29" s="37"/>
      <c r="B29" s="308"/>
      <c r="C29" s="330">
        <v>2.0</v>
      </c>
      <c r="D29" s="358" t="s">
        <v>155</v>
      </c>
      <c r="E29" s="427">
        <v>12.0</v>
      </c>
      <c r="F29" s="427">
        <v>20.0</v>
      </c>
      <c r="G29" s="416"/>
      <c r="H29" s="427">
        <v>11.0</v>
      </c>
      <c r="I29" s="427">
        <v>20.0</v>
      </c>
      <c r="J29" s="339"/>
      <c r="K29" s="333" t="s">
        <v>78</v>
      </c>
      <c r="L29" s="459">
        <v>45636.0</v>
      </c>
      <c r="M29" s="455" t="s">
        <v>73</v>
      </c>
      <c r="O29" s="338"/>
      <c r="P29" s="339"/>
      <c r="Q29" s="336"/>
      <c r="R29" s="338"/>
      <c r="S29" s="336"/>
      <c r="T29" s="319">
        <f t="shared" si="2"/>
        <v>460</v>
      </c>
      <c r="U29" s="422"/>
      <c r="V29" s="265"/>
    </row>
    <row r="30">
      <c r="A30" s="37"/>
      <c r="B30" s="308"/>
      <c r="C30" s="309">
        <v>3.0</v>
      </c>
      <c r="D30" s="360" t="s">
        <v>156</v>
      </c>
      <c r="E30" s="428">
        <v>8.0</v>
      </c>
      <c r="F30" s="428">
        <v>70.0</v>
      </c>
      <c r="G30" s="418"/>
      <c r="H30" s="417">
        <v>8.0</v>
      </c>
      <c r="I30" s="428">
        <v>70.0</v>
      </c>
      <c r="J30" s="344"/>
      <c r="K30" s="342">
        <v>2.0</v>
      </c>
      <c r="L30" s="236">
        <v>45875.0</v>
      </c>
      <c r="M30" s="218"/>
      <c r="N30" s="218"/>
      <c r="O30" s="346"/>
      <c r="P30" s="344"/>
      <c r="Q30" s="318"/>
      <c r="R30" s="346"/>
      <c r="S30" s="318"/>
      <c r="T30" s="319">
        <f t="shared" si="2"/>
        <v>1120</v>
      </c>
      <c r="U30" s="422"/>
      <c r="V30" s="265"/>
    </row>
    <row r="31">
      <c r="A31" s="37"/>
      <c r="B31" s="308"/>
      <c r="C31" s="330">
        <v>4.0</v>
      </c>
      <c r="D31" s="358" t="s">
        <v>159</v>
      </c>
      <c r="E31" s="415">
        <v>12.0</v>
      </c>
      <c r="F31" s="427">
        <v>65.0</v>
      </c>
      <c r="G31" s="416"/>
      <c r="H31" s="415">
        <v>12.0</v>
      </c>
      <c r="I31" s="427">
        <v>65.0</v>
      </c>
      <c r="J31" s="339"/>
      <c r="K31" s="333">
        <v>2.0</v>
      </c>
      <c r="L31" s="459">
        <v>45636.0</v>
      </c>
      <c r="M31" s="462"/>
      <c r="N31" s="462"/>
      <c r="O31" s="338"/>
      <c r="P31" s="339"/>
      <c r="Q31" s="336"/>
      <c r="R31" s="338"/>
      <c r="S31" s="336"/>
      <c r="T31" s="319">
        <f t="shared" si="2"/>
        <v>1560</v>
      </c>
      <c r="U31" s="422"/>
      <c r="V31" s="265"/>
    </row>
    <row r="32">
      <c r="A32" s="37"/>
      <c r="B32" s="308"/>
      <c r="C32" s="309">
        <v>5.0</v>
      </c>
      <c r="D32" s="341" t="s">
        <v>275</v>
      </c>
      <c r="E32" s="428">
        <v>10.0</v>
      </c>
      <c r="F32" s="428">
        <v>50.0</v>
      </c>
      <c r="G32" s="418"/>
      <c r="H32" s="428">
        <v>10.0</v>
      </c>
      <c r="I32" s="428">
        <v>50.0</v>
      </c>
      <c r="J32" s="344"/>
      <c r="K32" s="342">
        <v>2.0</v>
      </c>
      <c r="L32" s="463">
        <v>45938.0</v>
      </c>
      <c r="M32" s="241"/>
      <c r="N32" s="241"/>
      <c r="O32" s="346"/>
      <c r="P32" s="344"/>
      <c r="Q32" s="318"/>
      <c r="R32" s="346"/>
      <c r="S32" s="318"/>
      <c r="T32" s="319">
        <f t="shared" si="2"/>
        <v>1000</v>
      </c>
      <c r="U32" s="422"/>
      <c r="V32" s="265"/>
    </row>
    <row r="33">
      <c r="A33" s="37"/>
      <c r="B33" s="308"/>
      <c r="C33" s="330">
        <v>6.0</v>
      </c>
      <c r="D33" s="358" t="s">
        <v>107</v>
      </c>
      <c r="E33" s="427">
        <v>14.0</v>
      </c>
      <c r="F33" s="415">
        <v>10.0</v>
      </c>
      <c r="G33" s="419"/>
      <c r="H33" s="427">
        <v>16.0</v>
      </c>
      <c r="I33" s="427">
        <v>10.0</v>
      </c>
      <c r="J33" s="339"/>
      <c r="K33" s="338" t="s">
        <v>78</v>
      </c>
      <c r="L33" s="436" t="s">
        <v>134</v>
      </c>
      <c r="M33" s="455" t="s">
        <v>73</v>
      </c>
      <c r="O33" s="338">
        <v>3100.0</v>
      </c>
      <c r="P33" s="462"/>
      <c r="Q33" s="462"/>
      <c r="R33" s="462"/>
      <c r="S33" s="462"/>
      <c r="T33" s="319">
        <f t="shared" si="2"/>
        <v>300</v>
      </c>
      <c r="U33" s="422"/>
      <c r="V33" s="265"/>
    </row>
    <row r="34">
      <c r="A34" s="37"/>
      <c r="B34" s="361"/>
      <c r="C34" s="309">
        <v>7.0</v>
      </c>
      <c r="D34" s="360" t="s">
        <v>163</v>
      </c>
      <c r="E34" s="428">
        <v>14.0</v>
      </c>
      <c r="F34" s="428">
        <v>5.0</v>
      </c>
      <c r="G34" s="420"/>
      <c r="H34" s="428">
        <v>16.0</v>
      </c>
      <c r="I34" s="428">
        <v>5.0</v>
      </c>
      <c r="J34" s="344"/>
      <c r="K34" s="342" t="s">
        <v>78</v>
      </c>
      <c r="L34" s="244" t="s">
        <v>134</v>
      </c>
      <c r="M34" s="97" t="s">
        <v>73</v>
      </c>
      <c r="O34" s="346">
        <v>3101.0</v>
      </c>
      <c r="P34" s="344"/>
      <c r="Q34" s="318"/>
      <c r="R34" s="346"/>
      <c r="S34" s="318"/>
      <c r="T34" s="319">
        <f t="shared" si="2"/>
        <v>150</v>
      </c>
      <c r="U34" s="422"/>
      <c r="V34" s="265"/>
    </row>
    <row r="35" ht="30.0" customHeight="1">
      <c r="A35" s="37"/>
      <c r="B35" s="265"/>
      <c r="C35" s="265"/>
      <c r="D35" s="265"/>
      <c r="E35" s="265"/>
      <c r="F35" s="265"/>
      <c r="G35" s="265"/>
      <c r="H35" s="265"/>
      <c r="I35" s="265"/>
      <c r="J35" s="292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</row>
    <row r="36">
      <c r="A36" s="37"/>
      <c r="B36" s="265"/>
      <c r="C36" s="294" t="s">
        <v>209</v>
      </c>
      <c r="D36" s="295"/>
      <c r="E36" s="296" t="s">
        <v>210</v>
      </c>
      <c r="F36" s="297"/>
      <c r="G36" s="297"/>
      <c r="H36" s="297"/>
      <c r="I36" s="297"/>
      <c r="J36" s="297"/>
      <c r="K36" s="297"/>
      <c r="L36" s="297"/>
      <c r="M36" s="282"/>
      <c r="N36" s="298" t="s">
        <v>211</v>
      </c>
      <c r="O36" s="268"/>
      <c r="P36" s="57"/>
      <c r="Q36" s="286"/>
      <c r="R36" s="268"/>
      <c r="S36" s="57"/>
      <c r="T36" s="292"/>
      <c r="U36" s="265"/>
      <c r="V36" s="265"/>
    </row>
    <row r="37">
      <c r="A37" s="37"/>
      <c r="B37" s="265"/>
      <c r="C37" s="301" t="s">
        <v>214</v>
      </c>
      <c r="D37" s="372">
        <v>46086.0</v>
      </c>
      <c r="E37" s="303" t="s">
        <v>215</v>
      </c>
      <c r="F37" s="22"/>
      <c r="G37" s="28"/>
      <c r="H37" s="304" t="s">
        <v>216</v>
      </c>
      <c r="I37" s="297"/>
      <c r="J37" s="282"/>
      <c r="K37" s="304"/>
      <c r="L37" s="297"/>
      <c r="M37" s="282"/>
      <c r="N37" s="304"/>
      <c r="O37" s="297"/>
      <c r="P37" s="282"/>
      <c r="Q37" s="304"/>
      <c r="R37" s="297"/>
      <c r="S37" s="282"/>
      <c r="T37" s="265"/>
      <c r="U37" s="265"/>
      <c r="V37" s="265"/>
    </row>
    <row r="38">
      <c r="A38" s="37"/>
      <c r="B38" s="470" t="s">
        <v>242</v>
      </c>
      <c r="C38" s="306" t="s">
        <v>221</v>
      </c>
      <c r="D38" s="306" t="s">
        <v>222</v>
      </c>
      <c r="E38" s="301" t="s">
        <v>223</v>
      </c>
      <c r="F38" s="301" t="s">
        <v>224</v>
      </c>
      <c r="G38" s="301" t="s">
        <v>66</v>
      </c>
      <c r="H38" s="301" t="s">
        <v>223</v>
      </c>
      <c r="I38" s="301" t="s">
        <v>224</v>
      </c>
      <c r="J38" s="301" t="s">
        <v>66</v>
      </c>
      <c r="K38" s="301" t="s">
        <v>268</v>
      </c>
      <c r="L38" s="301" t="s">
        <v>269</v>
      </c>
      <c r="M38" s="468" t="s">
        <v>270</v>
      </c>
      <c r="N38" s="297"/>
      <c r="O38" s="282"/>
      <c r="P38" s="301" t="s">
        <v>271</v>
      </c>
      <c r="Q38" s="301"/>
      <c r="R38" s="301"/>
      <c r="S38" s="301"/>
      <c r="T38" s="307" t="s">
        <v>225</v>
      </c>
      <c r="U38" s="421" t="s">
        <v>263</v>
      </c>
      <c r="V38" s="265"/>
    </row>
    <row r="39" ht="33.75" customHeight="1">
      <c r="A39" s="37"/>
      <c r="B39" s="308"/>
      <c r="C39" s="309">
        <v>1.0</v>
      </c>
      <c r="D39" s="360" t="s">
        <v>167</v>
      </c>
      <c r="E39" s="507">
        <v>16.0</v>
      </c>
      <c r="F39" s="508">
        <v>55.0</v>
      </c>
      <c r="G39" s="509"/>
      <c r="H39" s="507">
        <v>20.0</v>
      </c>
      <c r="I39" s="510">
        <v>50.0</v>
      </c>
      <c r="J39" s="509"/>
      <c r="K39" s="508">
        <v>2.0</v>
      </c>
      <c r="L39" s="507" t="s">
        <v>134</v>
      </c>
      <c r="M39" s="537" t="s">
        <v>124</v>
      </c>
      <c r="O39" s="25"/>
      <c r="P39" s="314">
        <v>3101.0</v>
      </c>
      <c r="Q39" s="438"/>
      <c r="R39" s="438"/>
      <c r="S39" s="438"/>
      <c r="T39" s="319">
        <f t="shared" ref="T39:T45" si="3">(E39*F39)+(H39*I39)</f>
        <v>1880</v>
      </c>
      <c r="U39" s="422"/>
      <c r="V39" s="265"/>
    </row>
    <row r="40" ht="33.75" customHeight="1">
      <c r="A40" s="37"/>
      <c r="B40" s="308"/>
      <c r="C40" s="330">
        <v>2.0</v>
      </c>
      <c r="D40" s="358" t="s">
        <v>169</v>
      </c>
      <c r="E40" s="516">
        <v>14.0</v>
      </c>
      <c r="F40" s="517">
        <v>15.0</v>
      </c>
      <c r="G40" s="518"/>
      <c r="H40" s="519">
        <v>18.0</v>
      </c>
      <c r="I40" s="520">
        <v>15.0</v>
      </c>
      <c r="J40" s="518"/>
      <c r="K40" s="517" t="s">
        <v>78</v>
      </c>
      <c r="L40" s="519" t="s">
        <v>134</v>
      </c>
      <c r="M40" s="521" t="s">
        <v>73</v>
      </c>
      <c r="O40" s="25"/>
      <c r="P40" s="335">
        <v>3101.0</v>
      </c>
      <c r="Q40" s="336"/>
      <c r="R40" s="336"/>
      <c r="S40" s="336"/>
      <c r="T40" s="319">
        <f t="shared" si="3"/>
        <v>480</v>
      </c>
      <c r="U40" s="422"/>
      <c r="V40" s="265"/>
    </row>
    <row r="41" ht="33.75" customHeight="1">
      <c r="A41" s="37"/>
      <c r="B41" s="308"/>
      <c r="C41" s="309">
        <v>3.0</v>
      </c>
      <c r="D41" s="360" t="s">
        <v>170</v>
      </c>
      <c r="E41" s="507">
        <v>8.0</v>
      </c>
      <c r="F41" s="572">
        <v>80.0</v>
      </c>
      <c r="G41" s="509"/>
      <c r="H41" s="507">
        <v>8.0</v>
      </c>
      <c r="I41" s="523">
        <v>80.0</v>
      </c>
      <c r="J41" s="509"/>
      <c r="K41" s="508">
        <v>2.0</v>
      </c>
      <c r="L41" s="524">
        <v>45510.0</v>
      </c>
      <c r="M41" s="187"/>
      <c r="O41" s="25"/>
      <c r="P41" s="344"/>
      <c r="Q41" s="318"/>
      <c r="R41" s="318"/>
      <c r="S41" s="318"/>
      <c r="T41" s="319">
        <f t="shared" si="3"/>
        <v>1280</v>
      </c>
      <c r="U41" s="422"/>
      <c r="V41" s="265"/>
    </row>
    <row r="42" ht="33.75" customHeight="1">
      <c r="A42" s="37"/>
      <c r="B42" s="308"/>
      <c r="C42" s="330">
        <v>4.0</v>
      </c>
      <c r="D42" s="358" t="s">
        <v>171</v>
      </c>
      <c r="E42" s="519">
        <v>10.0</v>
      </c>
      <c r="F42" s="563">
        <v>180.0</v>
      </c>
      <c r="G42" s="518"/>
      <c r="H42" s="519">
        <v>10.0</v>
      </c>
      <c r="I42" s="564">
        <v>180.0</v>
      </c>
      <c r="J42" s="518"/>
      <c r="K42" s="517">
        <v>2.0</v>
      </c>
      <c r="L42" s="526">
        <v>45573.0</v>
      </c>
      <c r="M42" s="527"/>
      <c r="O42" s="25"/>
      <c r="P42" s="339"/>
      <c r="Q42" s="336"/>
      <c r="R42" s="336"/>
      <c r="S42" s="336"/>
      <c r="T42" s="319">
        <f t="shared" si="3"/>
        <v>3600</v>
      </c>
      <c r="U42" s="422"/>
      <c r="V42" s="265"/>
    </row>
    <row r="43" ht="33.75" customHeight="1">
      <c r="A43" s="37"/>
      <c r="B43" s="308"/>
      <c r="C43" s="309">
        <v>5.0</v>
      </c>
      <c r="D43" s="341" t="s">
        <v>172</v>
      </c>
      <c r="E43" s="529">
        <v>12.0</v>
      </c>
      <c r="F43" s="508">
        <v>70.0</v>
      </c>
      <c r="G43" s="509"/>
      <c r="H43" s="529">
        <v>14.0</v>
      </c>
      <c r="I43" s="510">
        <v>70.0</v>
      </c>
      <c r="J43" s="509"/>
      <c r="K43" s="508" t="s">
        <v>78</v>
      </c>
      <c r="L43" s="530">
        <v>45636.0</v>
      </c>
      <c r="M43" s="537" t="s">
        <v>73</v>
      </c>
      <c r="O43" s="25"/>
      <c r="P43" s="344"/>
      <c r="Q43" s="318"/>
      <c r="R43" s="318"/>
      <c r="S43" s="318"/>
      <c r="T43" s="319">
        <f t="shared" si="3"/>
        <v>1820</v>
      </c>
      <c r="U43" s="422"/>
      <c r="V43" s="265"/>
    </row>
    <row r="44" ht="33.75" customHeight="1">
      <c r="A44" s="37"/>
      <c r="B44" s="308"/>
      <c r="C44" s="330">
        <v>6.0</v>
      </c>
      <c r="D44" s="358" t="s">
        <v>174</v>
      </c>
      <c r="E44" s="519">
        <v>12.0</v>
      </c>
      <c r="F44" s="517">
        <v>22.5</v>
      </c>
      <c r="G44" s="518"/>
      <c r="H44" s="519">
        <v>10.0</v>
      </c>
      <c r="I44" s="520">
        <v>22.5</v>
      </c>
      <c r="J44" s="518"/>
      <c r="K44" s="517">
        <v>2.0</v>
      </c>
      <c r="L44" s="526">
        <v>45999.0</v>
      </c>
      <c r="M44" s="527"/>
      <c r="O44" s="25"/>
      <c r="P44" s="335">
        <v>3100.0</v>
      </c>
      <c r="Q44" s="336"/>
      <c r="R44" s="336"/>
      <c r="S44" s="336"/>
      <c r="T44" s="319">
        <f t="shared" si="3"/>
        <v>495</v>
      </c>
      <c r="U44" s="422"/>
      <c r="V44" s="265"/>
    </row>
    <row r="45" ht="33.0" customHeight="1">
      <c r="A45" s="37"/>
      <c r="B45" s="308"/>
      <c r="C45" s="309">
        <v>7.0</v>
      </c>
      <c r="D45" s="360"/>
      <c r="E45" s="259"/>
      <c r="F45" s="383"/>
      <c r="G45" s="318"/>
      <c r="H45" s="343"/>
      <c r="I45" s="342"/>
      <c r="J45" s="344"/>
      <c r="K45" s="481"/>
      <c r="L45" s="566"/>
      <c r="M45" s="100"/>
      <c r="O45" s="25"/>
      <c r="P45" s="472"/>
      <c r="Q45" s="318"/>
      <c r="R45" s="318"/>
      <c r="S45" s="318"/>
      <c r="T45" s="319">
        <f t="shared" si="3"/>
        <v>0</v>
      </c>
      <c r="U45" s="422"/>
      <c r="V45" s="265"/>
    </row>
    <row r="46" ht="30.0" customHeight="1">
      <c r="A46" s="264"/>
      <c r="B46" s="368"/>
      <c r="C46" s="265"/>
      <c r="D46" s="265"/>
      <c r="E46" s="265"/>
      <c r="F46" s="265"/>
      <c r="G46" s="265"/>
      <c r="H46" s="265"/>
      <c r="I46" s="265"/>
      <c r="J46" s="292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</row>
    <row r="47">
      <c r="A47" s="37"/>
      <c r="B47" s="265"/>
      <c r="C47" s="294" t="s">
        <v>209</v>
      </c>
      <c r="D47" s="295"/>
      <c r="E47" s="296" t="s">
        <v>257</v>
      </c>
      <c r="F47" s="297"/>
      <c r="G47" s="297"/>
      <c r="H47" s="297"/>
      <c r="I47" s="297"/>
      <c r="J47" s="297"/>
      <c r="K47" s="297"/>
      <c r="L47" s="297"/>
      <c r="M47" s="282"/>
      <c r="N47" s="298" t="s">
        <v>211</v>
      </c>
      <c r="O47" s="268"/>
      <c r="P47" s="57"/>
      <c r="Q47" s="286"/>
      <c r="R47" s="268"/>
      <c r="S47" s="57"/>
      <c r="T47" s="292"/>
      <c r="U47" s="265"/>
      <c r="V47" s="265"/>
    </row>
    <row r="48">
      <c r="A48" s="37"/>
      <c r="B48" s="265"/>
      <c r="C48" s="301" t="s">
        <v>214</v>
      </c>
      <c r="D48" s="372">
        <v>46087.0</v>
      </c>
      <c r="E48" s="303" t="s">
        <v>215</v>
      </c>
      <c r="F48" s="22"/>
      <c r="G48" s="28"/>
      <c r="H48" s="304" t="s">
        <v>216</v>
      </c>
      <c r="I48" s="297"/>
      <c r="J48" s="282"/>
      <c r="K48" s="304"/>
      <c r="L48" s="297"/>
      <c r="M48" s="282"/>
      <c r="N48" s="304"/>
      <c r="O48" s="297"/>
      <c r="P48" s="282"/>
      <c r="Q48" s="304"/>
      <c r="R48" s="297"/>
      <c r="S48" s="282"/>
      <c r="T48" s="265"/>
      <c r="U48" s="265"/>
      <c r="V48" s="265"/>
    </row>
    <row r="49">
      <c r="A49" s="37"/>
      <c r="B49" s="470" t="s">
        <v>245</v>
      </c>
      <c r="C49" s="306" t="s">
        <v>221</v>
      </c>
      <c r="D49" s="306" t="s">
        <v>222</v>
      </c>
      <c r="E49" s="301" t="s">
        <v>223</v>
      </c>
      <c r="F49" s="301" t="s">
        <v>224</v>
      </c>
      <c r="G49" s="301" t="s">
        <v>66</v>
      </c>
      <c r="H49" s="301" t="s">
        <v>223</v>
      </c>
      <c r="I49" s="301" t="s">
        <v>224</v>
      </c>
      <c r="J49" s="301" t="s">
        <v>66</v>
      </c>
      <c r="K49" s="301" t="s">
        <v>64</v>
      </c>
      <c r="L49" s="301" t="s">
        <v>223</v>
      </c>
      <c r="M49" s="444" t="s">
        <v>266</v>
      </c>
      <c r="N49" s="282"/>
      <c r="O49" s="301" t="s">
        <v>271</v>
      </c>
      <c r="P49" s="301"/>
      <c r="Q49" s="301"/>
      <c r="R49" s="301"/>
      <c r="S49" s="466"/>
      <c r="T49" s="307" t="s">
        <v>225</v>
      </c>
      <c r="U49" s="421" t="s">
        <v>263</v>
      </c>
      <c r="V49" s="265"/>
    </row>
    <row r="50" ht="33.75" customHeight="1">
      <c r="A50" s="37"/>
      <c r="B50" s="308"/>
      <c r="C50" s="561">
        <v>1.0</v>
      </c>
      <c r="D50" s="373" t="s">
        <v>127</v>
      </c>
      <c r="E50" s="312">
        <v>14.0</v>
      </c>
      <c r="F50" s="312">
        <v>12.0</v>
      </c>
      <c r="G50" s="318"/>
      <c r="H50" s="313">
        <v>12.0</v>
      </c>
      <c r="I50" s="312">
        <v>12.0</v>
      </c>
      <c r="J50" s="317"/>
      <c r="K50" s="312">
        <v>2.0</v>
      </c>
      <c r="L50" s="312" t="s">
        <v>134</v>
      </c>
      <c r="M50" s="318"/>
      <c r="O50" s="25"/>
      <c r="P50" s="317"/>
      <c r="Q50" s="222"/>
      <c r="R50" s="316"/>
      <c r="S50" s="316"/>
      <c r="T50" s="467">
        <f t="shared" ref="T50:T56" si="4">(E50*F50)+(H50*I50)</f>
        <v>312</v>
      </c>
      <c r="U50" s="422"/>
      <c r="V50" s="265"/>
    </row>
    <row r="51" ht="33.75" customHeight="1">
      <c r="A51" s="37"/>
      <c r="B51" s="308"/>
      <c r="C51" s="562">
        <v>2.0</v>
      </c>
      <c r="D51" s="377" t="s">
        <v>178</v>
      </c>
      <c r="E51" s="423">
        <v>10.0</v>
      </c>
      <c r="F51" s="333">
        <v>60.0</v>
      </c>
      <c r="G51" s="336"/>
      <c r="H51" s="334">
        <v>8.0</v>
      </c>
      <c r="I51" s="333">
        <v>60.0</v>
      </c>
      <c r="J51" s="339"/>
      <c r="K51" s="339">
        <v>2.0</v>
      </c>
      <c r="L51" s="440">
        <v>45938.0</v>
      </c>
      <c r="M51" s="336"/>
      <c r="O51" s="25"/>
      <c r="P51" s="339"/>
      <c r="Q51" s="436"/>
      <c r="R51" s="338"/>
      <c r="S51" s="338"/>
      <c r="T51" s="467">
        <f t="shared" si="4"/>
        <v>1080</v>
      </c>
      <c r="U51" s="422"/>
      <c r="V51" s="265"/>
    </row>
    <row r="52" ht="33.75" customHeight="1">
      <c r="A52" s="37"/>
      <c r="B52" s="308"/>
      <c r="C52" s="561">
        <v>3.0</v>
      </c>
      <c r="D52" s="382" t="s">
        <v>179</v>
      </c>
      <c r="E52" s="259">
        <v>6.0</v>
      </c>
      <c r="F52" s="383">
        <v>60.0</v>
      </c>
      <c r="G52" s="318"/>
      <c r="H52" s="343">
        <v>6.0</v>
      </c>
      <c r="I52" s="342">
        <v>50.0</v>
      </c>
      <c r="J52" s="344"/>
      <c r="K52" s="481">
        <v>2.0</v>
      </c>
      <c r="L52" s="432">
        <v>45510.0</v>
      </c>
      <c r="M52" s="318"/>
      <c r="O52" s="25"/>
      <c r="P52" s="344"/>
      <c r="Q52" s="209"/>
      <c r="R52" s="346"/>
      <c r="S52" s="346"/>
      <c r="T52" s="467">
        <f t="shared" si="4"/>
        <v>660</v>
      </c>
      <c r="U52" s="422"/>
      <c r="V52" s="265"/>
    </row>
    <row r="53" ht="33.75" customHeight="1">
      <c r="A53" s="37"/>
      <c r="B53" s="308"/>
      <c r="C53" s="562">
        <v>4.0</v>
      </c>
      <c r="D53" s="377" t="s">
        <v>180</v>
      </c>
      <c r="E53" s="423">
        <v>10.0</v>
      </c>
      <c r="F53" s="379">
        <v>30.0</v>
      </c>
      <c r="G53" s="336"/>
      <c r="H53" s="334">
        <v>10.0</v>
      </c>
      <c r="I53" s="333">
        <v>30.0</v>
      </c>
      <c r="J53" s="339"/>
      <c r="K53" s="339">
        <v>2.0</v>
      </c>
      <c r="L53" s="440">
        <v>45938.0</v>
      </c>
      <c r="M53" s="336"/>
      <c r="O53" s="25"/>
      <c r="P53" s="339"/>
      <c r="Q53" s="459"/>
      <c r="R53" s="338"/>
      <c r="S53" s="338"/>
      <c r="T53" s="467">
        <f t="shared" si="4"/>
        <v>600</v>
      </c>
      <c r="U53" s="422"/>
      <c r="V53" s="265"/>
    </row>
    <row r="54" ht="33.75" customHeight="1">
      <c r="A54" s="37"/>
      <c r="B54" s="308"/>
      <c r="C54" s="561">
        <v>5.0</v>
      </c>
      <c r="D54" s="382" t="s">
        <v>141</v>
      </c>
      <c r="E54" s="259">
        <v>14.0</v>
      </c>
      <c r="F54" s="383">
        <v>15.0</v>
      </c>
      <c r="G54" s="318"/>
      <c r="H54" s="343">
        <v>14.0</v>
      </c>
      <c r="I54" s="342">
        <v>12.5</v>
      </c>
      <c r="J54" s="344"/>
      <c r="K54" s="481" t="s">
        <v>78</v>
      </c>
      <c r="L54" s="566" t="s">
        <v>108</v>
      </c>
      <c r="M54" s="100" t="s">
        <v>73</v>
      </c>
      <c r="O54" s="25"/>
      <c r="P54" s="344">
        <v>3101.0</v>
      </c>
      <c r="Q54" s="239"/>
      <c r="R54" s="346"/>
      <c r="S54" s="346"/>
      <c r="T54" s="467">
        <f t="shared" si="4"/>
        <v>385</v>
      </c>
      <c r="U54" s="422"/>
      <c r="V54" s="265"/>
    </row>
    <row r="55" ht="33.75" customHeight="1">
      <c r="A55" s="37"/>
      <c r="B55" s="308"/>
      <c r="C55" s="562">
        <v>6.0</v>
      </c>
      <c r="D55" s="331" t="s">
        <v>139</v>
      </c>
      <c r="E55" s="423">
        <v>12.0</v>
      </c>
      <c r="F55" s="379">
        <v>35.0</v>
      </c>
      <c r="G55" s="336"/>
      <c r="H55" s="334">
        <v>14.0</v>
      </c>
      <c r="I55" s="333">
        <v>35.0</v>
      </c>
      <c r="J55" s="339"/>
      <c r="K55" s="339" t="s">
        <v>78</v>
      </c>
      <c r="L55" s="440">
        <v>45999.0</v>
      </c>
      <c r="M55" s="336" t="s">
        <v>97</v>
      </c>
      <c r="O55" s="25"/>
      <c r="P55" s="339"/>
      <c r="Q55" s="424"/>
      <c r="R55" s="338"/>
      <c r="S55" s="338"/>
      <c r="T55" s="467">
        <f t="shared" si="4"/>
        <v>910</v>
      </c>
      <c r="U55" s="422"/>
      <c r="V55" s="265"/>
    </row>
    <row r="56" ht="33.75" customHeight="1">
      <c r="A56" s="37"/>
      <c r="B56" s="308"/>
      <c r="C56" s="309">
        <v>7.0</v>
      </c>
      <c r="D56" s="382" t="s">
        <v>88</v>
      </c>
      <c r="E56" s="259">
        <v>10.0</v>
      </c>
      <c r="F56" s="383">
        <v>10.0</v>
      </c>
      <c r="G56" s="318"/>
      <c r="H56" s="343">
        <v>14.0</v>
      </c>
      <c r="I56" s="342">
        <v>8.0</v>
      </c>
      <c r="J56" s="344"/>
      <c r="K56" s="481" t="s">
        <v>78</v>
      </c>
      <c r="L56" s="566" t="s">
        <v>108</v>
      </c>
      <c r="M56" s="100" t="s">
        <v>73</v>
      </c>
      <c r="O56" s="25"/>
      <c r="P56" s="472">
        <v>3101.0</v>
      </c>
      <c r="Q56" s="239"/>
      <c r="R56" s="346"/>
      <c r="S56" s="346"/>
      <c r="T56" s="467">
        <f t="shared" si="4"/>
        <v>212</v>
      </c>
      <c r="U56" s="422"/>
      <c r="V56" s="37"/>
    </row>
    <row r="57" ht="49.5" customHeight="1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</row>
    <row r="58" ht="49.5" customHeight="1">
      <c r="A58" s="37"/>
      <c r="B58" s="265"/>
      <c r="C58" s="294" t="s">
        <v>209</v>
      </c>
      <c r="D58" s="295"/>
      <c r="E58" s="296" t="s">
        <v>248</v>
      </c>
      <c r="F58" s="297"/>
      <c r="G58" s="297"/>
      <c r="H58" s="297"/>
      <c r="I58" s="297"/>
      <c r="J58" s="297"/>
      <c r="K58" s="297"/>
      <c r="L58" s="297"/>
      <c r="M58" s="282"/>
      <c r="N58" s="298" t="s">
        <v>211</v>
      </c>
      <c r="O58" s="268"/>
      <c r="P58" s="57"/>
      <c r="Q58" s="286"/>
      <c r="R58" s="268"/>
      <c r="S58" s="57"/>
      <c r="T58" s="292"/>
      <c r="U58" s="265"/>
      <c r="V58" s="265"/>
    </row>
    <row r="59">
      <c r="A59" s="37"/>
      <c r="B59" s="265"/>
      <c r="C59" s="301" t="s">
        <v>214</v>
      </c>
      <c r="D59" s="372">
        <v>46090.0</v>
      </c>
      <c r="E59" s="303" t="s">
        <v>215</v>
      </c>
      <c r="F59" s="22"/>
      <c r="G59" s="28"/>
      <c r="H59" s="304" t="s">
        <v>216</v>
      </c>
      <c r="I59" s="297"/>
      <c r="J59" s="282"/>
      <c r="K59" s="304"/>
      <c r="L59" s="297"/>
      <c r="M59" s="282"/>
      <c r="N59" s="304"/>
      <c r="O59" s="297"/>
      <c r="P59" s="282"/>
      <c r="Q59" s="304"/>
      <c r="R59" s="297"/>
      <c r="S59" s="282"/>
      <c r="T59" s="265"/>
      <c r="U59" s="265"/>
      <c r="V59" s="265"/>
    </row>
    <row r="60">
      <c r="A60" s="37"/>
      <c r="B60" s="456" t="s">
        <v>247</v>
      </c>
      <c r="C60" s="306" t="s">
        <v>221</v>
      </c>
      <c r="D60" s="306" t="s">
        <v>222</v>
      </c>
      <c r="E60" s="301" t="s">
        <v>223</v>
      </c>
      <c r="F60" s="301" t="s">
        <v>224</v>
      </c>
      <c r="G60" s="301" t="s">
        <v>66</v>
      </c>
      <c r="H60" s="301" t="s">
        <v>223</v>
      </c>
      <c r="I60" s="301" t="s">
        <v>224</v>
      </c>
      <c r="J60" s="301" t="s">
        <v>66</v>
      </c>
      <c r="K60" s="301" t="s">
        <v>268</v>
      </c>
      <c r="L60" s="301" t="s">
        <v>269</v>
      </c>
      <c r="M60" s="468" t="s">
        <v>270</v>
      </c>
      <c r="N60" s="282"/>
      <c r="O60" s="301" t="s">
        <v>271</v>
      </c>
      <c r="P60" s="301"/>
      <c r="Q60" s="301"/>
      <c r="R60" s="301"/>
      <c r="S60" s="466"/>
      <c r="T60" s="307" t="s">
        <v>225</v>
      </c>
      <c r="U60" s="421" t="s">
        <v>263</v>
      </c>
      <c r="V60" s="265"/>
    </row>
    <row r="61">
      <c r="A61" s="37"/>
      <c r="B61" s="308"/>
      <c r="C61" s="309">
        <v>1.0</v>
      </c>
      <c r="D61" s="373" t="s">
        <v>130</v>
      </c>
      <c r="E61" s="259">
        <v>12.0</v>
      </c>
      <c r="F61" s="375">
        <v>14.0</v>
      </c>
      <c r="G61" s="384"/>
      <c r="H61" s="376">
        <v>12.0</v>
      </c>
      <c r="I61" s="375">
        <v>14.0</v>
      </c>
      <c r="J61" s="315"/>
      <c r="K61" s="316">
        <v>2.0</v>
      </c>
      <c r="L61" s="236">
        <v>45999.0</v>
      </c>
      <c r="M61" s="345"/>
      <c r="N61" s="25"/>
      <c r="O61" s="316"/>
      <c r="P61" s="316"/>
      <c r="Q61" s="222"/>
      <c r="R61" s="316"/>
      <c r="S61" s="316"/>
      <c r="T61" s="467">
        <f t="shared" ref="T61:T67" si="5">(E61*F61)+(H61*I61)</f>
        <v>336</v>
      </c>
      <c r="U61" s="422"/>
      <c r="V61" s="265"/>
    </row>
    <row r="62" ht="33.75" customHeight="1">
      <c r="A62" s="37"/>
      <c r="B62" s="308"/>
      <c r="C62" s="330">
        <v>2.0</v>
      </c>
      <c r="D62" s="377" t="s">
        <v>183</v>
      </c>
      <c r="E62" s="423">
        <v>16.0</v>
      </c>
      <c r="F62" s="379">
        <v>15.0</v>
      </c>
      <c r="G62" s="380"/>
      <c r="H62" s="381">
        <v>17.0</v>
      </c>
      <c r="I62" s="379">
        <v>15.0</v>
      </c>
      <c r="J62" s="337"/>
      <c r="K62" s="338" t="s">
        <v>78</v>
      </c>
      <c r="L62" s="436" t="s">
        <v>134</v>
      </c>
      <c r="M62" s="337" t="s">
        <v>73</v>
      </c>
      <c r="N62" s="25"/>
      <c r="O62" s="338">
        <v>3101.0</v>
      </c>
      <c r="P62" s="338"/>
      <c r="Q62" s="436"/>
      <c r="R62" s="338"/>
      <c r="S62" s="338"/>
      <c r="T62" s="467">
        <f t="shared" si="5"/>
        <v>495</v>
      </c>
      <c r="U62" s="422"/>
      <c r="V62" s="265"/>
    </row>
    <row r="63" ht="33.75" customHeight="1">
      <c r="A63" s="37"/>
      <c r="B63" s="308"/>
      <c r="C63" s="309">
        <v>3.0</v>
      </c>
      <c r="D63" s="382" t="s">
        <v>131</v>
      </c>
      <c r="E63" s="259">
        <v>12.0</v>
      </c>
      <c r="F63" s="383">
        <v>55.0</v>
      </c>
      <c r="H63" s="385">
        <v>9.0</v>
      </c>
      <c r="I63" s="383">
        <v>55.0</v>
      </c>
      <c r="J63" s="345"/>
      <c r="K63" s="346">
        <v>2.0</v>
      </c>
      <c r="L63" s="236">
        <v>46001.0</v>
      </c>
      <c r="M63" s="345"/>
      <c r="N63" s="25"/>
      <c r="O63" s="346"/>
      <c r="P63" s="346"/>
      <c r="Q63" s="209"/>
      <c r="R63" s="346"/>
      <c r="S63" s="346"/>
      <c r="T63" s="467">
        <f t="shared" si="5"/>
        <v>1155</v>
      </c>
      <c r="U63" s="422"/>
      <c r="V63" s="265"/>
    </row>
    <row r="64" ht="33.75" customHeight="1">
      <c r="A64" s="37"/>
      <c r="B64" s="308"/>
      <c r="C64" s="330">
        <v>4.0</v>
      </c>
      <c r="D64" s="377" t="s">
        <v>106</v>
      </c>
      <c r="E64" s="423">
        <v>10.0</v>
      </c>
      <c r="F64" s="379">
        <v>80.0</v>
      </c>
      <c r="G64" s="380"/>
      <c r="H64" s="381">
        <v>8.0</v>
      </c>
      <c r="I64" s="379">
        <v>80.0</v>
      </c>
      <c r="J64" s="337"/>
      <c r="K64" s="338">
        <v>2.0</v>
      </c>
      <c r="L64" s="459">
        <v>45573.0</v>
      </c>
      <c r="M64" s="337"/>
      <c r="N64" s="25"/>
      <c r="O64" s="338">
        <v>3101.0</v>
      </c>
      <c r="P64" s="338"/>
      <c r="Q64" s="459"/>
      <c r="R64" s="338"/>
      <c r="S64" s="338"/>
      <c r="T64" s="467">
        <f t="shared" si="5"/>
        <v>1440</v>
      </c>
      <c r="U64" s="422"/>
      <c r="V64" s="265"/>
    </row>
    <row r="65" ht="33.75" customHeight="1">
      <c r="A65" s="37"/>
      <c r="B65" s="308"/>
      <c r="C65" s="309">
        <v>5.0</v>
      </c>
      <c r="D65" s="382" t="s">
        <v>185</v>
      </c>
      <c r="E65" s="244">
        <v>12.0</v>
      </c>
      <c r="F65" s="383">
        <v>80.0</v>
      </c>
      <c r="G65" s="384"/>
      <c r="H65" s="385">
        <v>10.0</v>
      </c>
      <c r="I65" s="383">
        <v>80.0</v>
      </c>
      <c r="J65" s="345"/>
      <c r="K65" s="346">
        <v>2.0</v>
      </c>
      <c r="L65" s="239">
        <v>45636.0</v>
      </c>
      <c r="M65" s="345"/>
      <c r="N65" s="25"/>
      <c r="O65" s="346"/>
      <c r="P65" s="346"/>
      <c r="Q65" s="239"/>
      <c r="R65" s="346"/>
      <c r="S65" s="346"/>
      <c r="T65" s="467">
        <f t="shared" si="5"/>
        <v>1760</v>
      </c>
      <c r="U65" s="422"/>
      <c r="V65" s="265"/>
    </row>
    <row r="66" ht="33.75" customHeight="1">
      <c r="A66" s="37"/>
      <c r="B66" s="308"/>
      <c r="C66" s="330">
        <v>6.0</v>
      </c>
      <c r="D66" s="331" t="s">
        <v>186</v>
      </c>
      <c r="E66" s="423">
        <v>12.0</v>
      </c>
      <c r="F66" s="379">
        <v>70.0</v>
      </c>
      <c r="G66" s="380"/>
      <c r="H66" s="381">
        <v>12.0</v>
      </c>
      <c r="I66" s="379">
        <v>60.0</v>
      </c>
      <c r="J66" s="337"/>
      <c r="K66" s="338">
        <v>2.0</v>
      </c>
      <c r="L66" s="424">
        <v>46001.0</v>
      </c>
      <c r="M66" s="337"/>
      <c r="N66" s="25"/>
      <c r="O66" s="338"/>
      <c r="P66" s="338"/>
      <c r="Q66" s="424"/>
      <c r="R66" s="338"/>
      <c r="S66" s="338"/>
      <c r="T66" s="467">
        <f t="shared" si="5"/>
        <v>1560</v>
      </c>
      <c r="U66" s="422"/>
      <c r="V66" s="265"/>
    </row>
    <row r="67" ht="33.75" customHeight="1">
      <c r="A67" s="37"/>
      <c r="B67" s="361"/>
      <c r="C67" s="309">
        <v>7.0</v>
      </c>
      <c r="D67" s="382" t="s">
        <v>187</v>
      </c>
      <c r="E67" s="259">
        <v>12.0</v>
      </c>
      <c r="F67" s="342">
        <v>12.5</v>
      </c>
      <c r="G67" s="318"/>
      <c r="H67" s="343">
        <v>14.0</v>
      </c>
      <c r="I67" s="342">
        <v>12.5</v>
      </c>
      <c r="J67" s="345"/>
      <c r="K67" s="346" t="s">
        <v>78</v>
      </c>
      <c r="L67" s="236">
        <v>45999.0</v>
      </c>
      <c r="M67" s="100" t="s">
        <v>73</v>
      </c>
      <c r="O67" s="261">
        <v>3101.0</v>
      </c>
      <c r="P67" s="342"/>
      <c r="Q67" s="239"/>
      <c r="R67" s="346"/>
      <c r="S67" s="261"/>
      <c r="T67" s="467">
        <f t="shared" si="5"/>
        <v>325</v>
      </c>
      <c r="U67" s="422"/>
      <c r="V67" s="37"/>
    </row>
    <row r="68" ht="33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ht="51.0" customHeight="1">
      <c r="A69" s="37"/>
      <c r="B69" s="265"/>
      <c r="C69" s="294" t="s">
        <v>209</v>
      </c>
      <c r="D69" s="295"/>
      <c r="E69" s="296" t="s">
        <v>244</v>
      </c>
      <c r="F69" s="297"/>
      <c r="G69" s="297"/>
      <c r="H69" s="297"/>
      <c r="I69" s="297"/>
      <c r="J69" s="297"/>
      <c r="K69" s="297"/>
      <c r="L69" s="297"/>
      <c r="M69" s="282"/>
      <c r="N69" s="298" t="s">
        <v>211</v>
      </c>
      <c r="O69" s="268"/>
      <c r="P69" s="57"/>
      <c r="Q69" s="286"/>
      <c r="R69" s="268"/>
      <c r="S69" s="57"/>
      <c r="T69" s="292"/>
      <c r="U69" s="265"/>
      <c r="V69" s="265"/>
    </row>
    <row r="70">
      <c r="A70" s="37"/>
      <c r="B70" s="265"/>
      <c r="C70" s="301" t="s">
        <v>214</v>
      </c>
      <c r="D70" s="372">
        <v>46092.0</v>
      </c>
      <c r="E70" s="303" t="s">
        <v>215</v>
      </c>
      <c r="F70" s="22"/>
      <c r="G70" s="28"/>
      <c r="H70" s="304" t="s">
        <v>216</v>
      </c>
      <c r="I70" s="297"/>
      <c r="J70" s="282"/>
      <c r="K70" s="304"/>
      <c r="L70" s="297"/>
      <c r="M70" s="282"/>
      <c r="N70" s="304"/>
      <c r="O70" s="297"/>
      <c r="P70" s="282"/>
      <c r="Q70" s="304"/>
      <c r="R70" s="297"/>
      <c r="S70" s="282"/>
      <c r="T70" s="265"/>
      <c r="U70" s="265"/>
      <c r="V70" s="265"/>
    </row>
    <row r="71">
      <c r="A71" s="37"/>
      <c r="B71" s="456" t="s">
        <v>249</v>
      </c>
      <c r="C71" s="306" t="s">
        <v>221</v>
      </c>
      <c r="D71" s="306" t="s">
        <v>222</v>
      </c>
      <c r="E71" s="301" t="s">
        <v>223</v>
      </c>
      <c r="F71" s="301" t="s">
        <v>224</v>
      </c>
      <c r="G71" s="301" t="s">
        <v>66</v>
      </c>
      <c r="H71" s="301" t="s">
        <v>223</v>
      </c>
      <c r="I71" s="301" t="s">
        <v>224</v>
      </c>
      <c r="J71" s="301" t="s">
        <v>66</v>
      </c>
      <c r="K71" s="301" t="s">
        <v>64</v>
      </c>
      <c r="L71" s="301" t="s">
        <v>223</v>
      </c>
      <c r="M71" s="444" t="s">
        <v>266</v>
      </c>
      <c r="N71" s="282"/>
      <c r="O71" s="301" t="s">
        <v>271</v>
      </c>
      <c r="P71" s="301"/>
      <c r="Q71" s="301"/>
      <c r="R71" s="301"/>
      <c r="S71" s="301"/>
      <c r="T71" s="307" t="s">
        <v>225</v>
      </c>
      <c r="U71" s="421" t="s">
        <v>263</v>
      </c>
      <c r="V71" s="265"/>
    </row>
    <row r="72">
      <c r="A72" s="37"/>
      <c r="B72" s="308"/>
      <c r="C72" s="561">
        <v>1.0</v>
      </c>
      <c r="D72" s="373" t="s">
        <v>167</v>
      </c>
      <c r="E72" s="374">
        <v>12.0</v>
      </c>
      <c r="F72" s="375">
        <v>60.0</v>
      </c>
      <c r="G72" s="384"/>
      <c r="H72" s="376">
        <v>12.0</v>
      </c>
      <c r="I72" s="375">
        <v>60.0</v>
      </c>
      <c r="J72" s="317"/>
      <c r="K72" s="317">
        <v>2.0</v>
      </c>
      <c r="L72" s="209">
        <v>45634.0</v>
      </c>
      <c r="M72" s="100" t="s">
        <v>124</v>
      </c>
      <c r="O72" s="25"/>
      <c r="P72" s="472">
        <v>3101.0</v>
      </c>
      <c r="Q72" s="222"/>
      <c r="R72" s="316"/>
      <c r="S72" s="316"/>
      <c r="T72" s="319">
        <f t="shared" ref="T72:T78" si="6">(E72*F72)+(H72*I72)</f>
        <v>1440</v>
      </c>
      <c r="U72" s="422"/>
      <c r="V72" s="265"/>
    </row>
    <row r="73">
      <c r="A73" s="37"/>
      <c r="B73" s="308"/>
      <c r="C73" s="562">
        <v>2.0</v>
      </c>
      <c r="D73" s="377" t="s">
        <v>189</v>
      </c>
      <c r="E73" s="378">
        <v>12.0</v>
      </c>
      <c r="F73" s="379">
        <v>30.0</v>
      </c>
      <c r="G73" s="380"/>
      <c r="H73" s="381">
        <v>12.0</v>
      </c>
      <c r="I73" s="379">
        <v>20.0</v>
      </c>
      <c r="J73" s="339"/>
      <c r="K73" s="335" t="s">
        <v>78</v>
      </c>
      <c r="L73" s="440">
        <v>46001.0</v>
      </c>
      <c r="M73" s="336" t="s">
        <v>97</v>
      </c>
      <c r="O73" s="25"/>
      <c r="P73" s="339">
        <v>3101.0</v>
      </c>
      <c r="Q73" s="436"/>
      <c r="R73" s="338"/>
      <c r="S73" s="338"/>
      <c r="T73" s="319">
        <f t="shared" si="6"/>
        <v>600</v>
      </c>
      <c r="U73" s="422"/>
      <c r="V73" s="265"/>
    </row>
    <row r="74">
      <c r="A74" s="37"/>
      <c r="B74" s="308"/>
      <c r="C74" s="561">
        <v>3.0</v>
      </c>
      <c r="D74" s="382" t="s">
        <v>277</v>
      </c>
      <c r="E74" s="374">
        <v>16.0</v>
      </c>
      <c r="F74" s="383">
        <v>60.0</v>
      </c>
      <c r="G74" s="384"/>
      <c r="H74" s="385">
        <v>16.0</v>
      </c>
      <c r="I74" s="383">
        <v>50.0</v>
      </c>
      <c r="J74" s="344"/>
      <c r="K74" s="344" t="s">
        <v>78</v>
      </c>
      <c r="L74" s="437" t="s">
        <v>134</v>
      </c>
      <c r="M74" s="100" t="s">
        <v>97</v>
      </c>
      <c r="O74" s="25"/>
      <c r="P74" s="473">
        <v>3001.0</v>
      </c>
      <c r="Q74" s="209"/>
      <c r="R74" s="346"/>
      <c r="S74" s="346"/>
      <c r="T74" s="319">
        <f t="shared" si="6"/>
        <v>1760</v>
      </c>
      <c r="U74" s="422"/>
      <c r="V74" s="265"/>
    </row>
    <row r="75">
      <c r="A75" s="37"/>
      <c r="B75" s="308"/>
      <c r="C75" s="562">
        <v>4.0</v>
      </c>
      <c r="D75" s="377" t="s">
        <v>191</v>
      </c>
      <c r="E75" s="378">
        <v>10.0</v>
      </c>
      <c r="F75" s="379">
        <v>140.0</v>
      </c>
      <c r="G75" s="380"/>
      <c r="H75" s="439">
        <v>9.0</v>
      </c>
      <c r="I75" s="379">
        <v>120.0</v>
      </c>
      <c r="J75" s="339"/>
      <c r="K75" s="339">
        <v>2.0</v>
      </c>
      <c r="L75" s="440">
        <v>45938.0</v>
      </c>
      <c r="M75" s="332"/>
      <c r="N75" s="332"/>
      <c r="O75" s="335"/>
      <c r="P75" s="339">
        <v>3001.0</v>
      </c>
      <c r="Q75" s="459"/>
      <c r="R75" s="338"/>
      <c r="S75" s="338"/>
      <c r="T75" s="319">
        <f t="shared" si="6"/>
        <v>2480</v>
      </c>
      <c r="U75" s="422"/>
      <c r="V75" s="265"/>
    </row>
    <row r="76">
      <c r="A76" s="37"/>
      <c r="B76" s="308"/>
      <c r="C76" s="561">
        <v>5.0</v>
      </c>
      <c r="D76" s="382" t="s">
        <v>192</v>
      </c>
      <c r="E76" s="374">
        <v>6.0</v>
      </c>
      <c r="F76" s="383">
        <v>80.0</v>
      </c>
      <c r="G76" s="384"/>
      <c r="H76" s="385">
        <v>8.0</v>
      </c>
      <c r="I76" s="383">
        <v>70.0</v>
      </c>
      <c r="J76" s="344"/>
      <c r="K76" s="344">
        <v>2.0</v>
      </c>
      <c r="L76" s="432">
        <v>45510.0</v>
      </c>
      <c r="M76" s="218"/>
      <c r="O76" s="25"/>
      <c r="P76" s="473"/>
      <c r="Q76" s="239"/>
      <c r="R76" s="346"/>
      <c r="S76" s="346"/>
      <c r="T76" s="319">
        <f t="shared" si="6"/>
        <v>1040</v>
      </c>
      <c r="U76" s="422"/>
      <c r="V76" s="265"/>
    </row>
    <row r="77">
      <c r="A77" s="37"/>
      <c r="B77" s="308"/>
      <c r="C77" s="562">
        <v>6.0</v>
      </c>
      <c r="D77" s="331" t="s">
        <v>267</v>
      </c>
      <c r="E77" s="378">
        <v>12.0</v>
      </c>
      <c r="F77" s="379">
        <v>40.0</v>
      </c>
      <c r="G77" s="380"/>
      <c r="H77" s="381">
        <v>8.0</v>
      </c>
      <c r="I77" s="379">
        <v>40.0</v>
      </c>
      <c r="J77" s="339"/>
      <c r="K77" s="339" t="s">
        <v>113</v>
      </c>
      <c r="L77" s="474">
        <v>45999.0</v>
      </c>
      <c r="M77" s="337" t="s">
        <v>97</v>
      </c>
      <c r="O77" s="25"/>
      <c r="P77" s="338">
        <v>3202.0</v>
      </c>
      <c r="Q77" s="424"/>
      <c r="R77" s="338"/>
      <c r="S77" s="338"/>
      <c r="T77" s="319">
        <f t="shared" si="6"/>
        <v>800</v>
      </c>
      <c r="U77" s="422"/>
      <c r="V77" s="265"/>
    </row>
    <row r="78">
      <c r="A78" s="37"/>
      <c r="B78" s="361"/>
      <c r="C78" s="561">
        <v>7.0</v>
      </c>
      <c r="D78" s="506"/>
      <c r="E78" s="508"/>
      <c r="F78" s="508"/>
      <c r="G78" s="509"/>
      <c r="H78" s="508"/>
      <c r="I78" s="508"/>
      <c r="J78" s="509"/>
      <c r="K78" s="508"/>
      <c r="L78" s="508"/>
      <c r="M78" s="511"/>
      <c r="O78" s="25"/>
      <c r="P78" s="346"/>
      <c r="Q78" s="342"/>
      <c r="R78" s="342"/>
      <c r="S78" s="342"/>
      <c r="T78" s="319">
        <f t="shared" si="6"/>
        <v>0</v>
      </c>
      <c r="U78" s="422"/>
      <c r="V78" s="265"/>
    </row>
    <row r="79" ht="40.5" customHeight="1">
      <c r="A79" s="37"/>
      <c r="B79" s="569">
        <v>1.0</v>
      </c>
      <c r="C79" s="265"/>
      <c r="D79" s="265"/>
      <c r="E79" s="265"/>
      <c r="F79" s="265"/>
      <c r="G79" s="265"/>
      <c r="H79" s="265"/>
      <c r="I79" s="265"/>
      <c r="J79" s="265"/>
      <c r="K79" s="292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</row>
    <row r="80">
      <c r="A80" s="37"/>
      <c r="B80" s="265"/>
      <c r="C80" s="294" t="s">
        <v>209</v>
      </c>
      <c r="D80" s="295"/>
      <c r="E80" s="296" t="s">
        <v>233</v>
      </c>
      <c r="F80" s="297"/>
      <c r="G80" s="297"/>
      <c r="H80" s="297"/>
      <c r="I80" s="297"/>
      <c r="J80" s="297"/>
      <c r="K80" s="297"/>
      <c r="L80" s="297"/>
      <c r="M80" s="282"/>
      <c r="N80" s="298" t="s">
        <v>211</v>
      </c>
      <c r="O80" s="268"/>
      <c r="P80" s="57"/>
      <c r="Q80" s="286"/>
      <c r="R80" s="268"/>
      <c r="S80" s="57"/>
      <c r="T80" s="292"/>
      <c r="U80" s="265"/>
      <c r="V80" s="265"/>
    </row>
    <row r="81">
      <c r="A81" s="37"/>
      <c r="B81" s="265"/>
      <c r="C81" s="301" t="s">
        <v>214</v>
      </c>
      <c r="D81" s="372">
        <v>46093.0</v>
      </c>
      <c r="E81" s="303" t="s">
        <v>215</v>
      </c>
      <c r="F81" s="22"/>
      <c r="G81" s="28"/>
      <c r="H81" s="304" t="s">
        <v>216</v>
      </c>
      <c r="I81" s="297"/>
      <c r="J81" s="282"/>
      <c r="K81" s="304"/>
      <c r="L81" s="297"/>
      <c r="M81" s="282"/>
      <c r="N81" s="304"/>
      <c r="O81" s="297"/>
      <c r="P81" s="282"/>
      <c r="Q81" s="304"/>
      <c r="R81" s="297"/>
      <c r="S81" s="282"/>
      <c r="T81" s="265"/>
      <c r="U81" s="265"/>
      <c r="V81" s="265"/>
    </row>
    <row r="82">
      <c r="A82" s="37"/>
      <c r="B82" s="470" t="s">
        <v>251</v>
      </c>
      <c r="C82" s="306" t="s">
        <v>221</v>
      </c>
      <c r="D82" s="306" t="s">
        <v>222</v>
      </c>
      <c r="E82" s="301" t="s">
        <v>223</v>
      </c>
      <c r="F82" s="301" t="s">
        <v>224</v>
      </c>
      <c r="G82" s="301" t="s">
        <v>66</v>
      </c>
      <c r="H82" s="301" t="s">
        <v>223</v>
      </c>
      <c r="I82" s="301" t="s">
        <v>224</v>
      </c>
      <c r="J82" s="301" t="s">
        <v>66</v>
      </c>
      <c r="K82" s="301" t="s">
        <v>268</v>
      </c>
      <c r="L82" s="301" t="s">
        <v>269</v>
      </c>
      <c r="M82" s="468" t="s">
        <v>270</v>
      </c>
      <c r="N82" s="297"/>
      <c r="O82" s="282"/>
      <c r="P82" s="301" t="s">
        <v>271</v>
      </c>
      <c r="Q82" s="468"/>
      <c r="R82" s="297"/>
      <c r="S82" s="282"/>
      <c r="T82" s="307" t="s">
        <v>225</v>
      </c>
      <c r="U82" s="421" t="s">
        <v>263</v>
      </c>
      <c r="V82" s="265"/>
    </row>
    <row r="83">
      <c r="A83" s="37"/>
      <c r="B83" s="308"/>
      <c r="C83" s="309">
        <v>1.0</v>
      </c>
      <c r="D83" s="360" t="s">
        <v>104</v>
      </c>
      <c r="E83" s="510">
        <v>12.0</v>
      </c>
      <c r="F83" s="508">
        <v>10.0</v>
      </c>
      <c r="G83" s="509"/>
      <c r="H83" s="510">
        <v>12.0</v>
      </c>
      <c r="I83" s="508">
        <v>10.0</v>
      </c>
      <c r="J83" s="509"/>
      <c r="K83" s="508">
        <v>2.0</v>
      </c>
      <c r="L83" s="524">
        <v>45634.0</v>
      </c>
      <c r="M83" s="537" t="s">
        <v>124</v>
      </c>
      <c r="O83" s="25"/>
      <c r="P83" s="472"/>
      <c r="Q83" s="472"/>
      <c r="R83" s="472"/>
      <c r="S83" s="472"/>
      <c r="T83" s="467">
        <f t="shared" ref="T83:T89" si="7">(E83*F83)+(H83*I83)</f>
        <v>240</v>
      </c>
      <c r="U83" s="422"/>
      <c r="V83" s="265"/>
    </row>
    <row r="84">
      <c r="A84" s="37"/>
      <c r="B84" s="308"/>
      <c r="C84" s="330">
        <v>2.0</v>
      </c>
      <c r="D84" s="358" t="s">
        <v>145</v>
      </c>
      <c r="E84" s="520">
        <v>10.0</v>
      </c>
      <c r="F84" s="563">
        <v>80.0</v>
      </c>
      <c r="G84" s="518"/>
      <c r="H84" s="564">
        <v>9.0</v>
      </c>
      <c r="I84" s="563">
        <v>80.0</v>
      </c>
      <c r="J84" s="518"/>
      <c r="K84" s="517">
        <v>2.0</v>
      </c>
      <c r="L84" s="539">
        <v>45938.0</v>
      </c>
      <c r="M84" s="527"/>
      <c r="O84" s="25"/>
      <c r="P84" s="339"/>
      <c r="Q84" s="339"/>
      <c r="R84" s="339"/>
      <c r="S84" s="339"/>
      <c r="T84" s="467">
        <f t="shared" si="7"/>
        <v>1520</v>
      </c>
      <c r="U84" s="422"/>
      <c r="V84" s="265"/>
    </row>
    <row r="85">
      <c r="A85" s="37"/>
      <c r="B85" s="308"/>
      <c r="C85" s="309">
        <v>3.0</v>
      </c>
      <c r="D85" s="360" t="s">
        <v>146</v>
      </c>
      <c r="E85" s="523">
        <v>6.0</v>
      </c>
      <c r="F85" s="572">
        <v>30.0</v>
      </c>
      <c r="G85" s="509"/>
      <c r="H85" s="523">
        <v>6.0</v>
      </c>
      <c r="I85" s="572">
        <v>28.0</v>
      </c>
      <c r="J85" s="509"/>
      <c r="K85" s="508">
        <v>2.0</v>
      </c>
      <c r="L85" s="524">
        <v>45509.0</v>
      </c>
      <c r="M85" s="187"/>
      <c r="O85" s="25"/>
      <c r="P85" s="473"/>
      <c r="Q85" s="473"/>
      <c r="R85" s="473"/>
      <c r="S85" s="473"/>
      <c r="T85" s="467">
        <f t="shared" si="7"/>
        <v>348</v>
      </c>
      <c r="U85" s="422"/>
      <c r="V85" s="265"/>
    </row>
    <row r="86">
      <c r="A86" s="37"/>
      <c r="B86" s="308"/>
      <c r="C86" s="330">
        <v>4.0</v>
      </c>
      <c r="D86" s="358" t="s">
        <v>76</v>
      </c>
      <c r="E86" s="564">
        <v>12.0</v>
      </c>
      <c r="F86" s="563">
        <v>10.0</v>
      </c>
      <c r="G86" s="518"/>
      <c r="H86" s="564">
        <v>12.0</v>
      </c>
      <c r="I86" s="563">
        <v>10.0</v>
      </c>
      <c r="J86" s="518"/>
      <c r="K86" s="517" t="s">
        <v>78</v>
      </c>
      <c r="L86" s="517" t="s">
        <v>108</v>
      </c>
      <c r="M86" s="541" t="s">
        <v>97</v>
      </c>
      <c r="O86" s="25"/>
      <c r="P86" s="542">
        <v>3101.0</v>
      </c>
      <c r="Q86" s="339"/>
      <c r="R86" s="339"/>
      <c r="S86" s="339"/>
      <c r="T86" s="467">
        <f t="shared" si="7"/>
        <v>240</v>
      </c>
      <c r="U86" s="422"/>
      <c r="V86" s="265"/>
    </row>
    <row r="87">
      <c r="A87" s="37"/>
      <c r="B87" s="308"/>
      <c r="C87" s="309">
        <v>5.0</v>
      </c>
      <c r="D87" s="341" t="s">
        <v>147</v>
      </c>
      <c r="E87" s="510">
        <v>14.0</v>
      </c>
      <c r="F87" s="572">
        <v>6.0</v>
      </c>
      <c r="G87" s="509"/>
      <c r="H87" s="510">
        <v>16.0</v>
      </c>
      <c r="I87" s="572">
        <v>6.0</v>
      </c>
      <c r="J87" s="509"/>
      <c r="K87" s="508" t="s">
        <v>78</v>
      </c>
      <c r="L87" s="507" t="s">
        <v>134</v>
      </c>
      <c r="M87" s="537" t="s">
        <v>73</v>
      </c>
      <c r="O87" s="25"/>
      <c r="P87" s="543">
        <v>3101.0</v>
      </c>
      <c r="Q87" s="473"/>
      <c r="R87" s="473"/>
      <c r="S87" s="473"/>
      <c r="T87" s="467">
        <f t="shared" si="7"/>
        <v>180</v>
      </c>
      <c r="U87" s="422"/>
      <c r="V87" s="265"/>
    </row>
    <row r="88">
      <c r="A88" s="37"/>
      <c r="B88" s="308"/>
      <c r="C88" s="330">
        <v>6.0</v>
      </c>
      <c r="D88" s="358" t="s">
        <v>149</v>
      </c>
      <c r="E88" s="520">
        <v>12.0</v>
      </c>
      <c r="F88" s="563">
        <v>25.0</v>
      </c>
      <c r="G88" s="518"/>
      <c r="H88" s="564">
        <v>10.0</v>
      </c>
      <c r="I88" s="563">
        <v>25.0</v>
      </c>
      <c r="J88" s="518"/>
      <c r="K88" s="517">
        <v>2.0</v>
      </c>
      <c r="L88" s="539">
        <v>45999.0</v>
      </c>
      <c r="M88" s="527"/>
      <c r="O88" s="25"/>
      <c r="P88" s="542">
        <v>3101.0</v>
      </c>
      <c r="Q88" s="338"/>
      <c r="R88" s="338"/>
      <c r="S88" s="338"/>
      <c r="T88" s="467">
        <f t="shared" si="7"/>
        <v>550</v>
      </c>
      <c r="U88" s="422"/>
      <c r="V88" s="265"/>
    </row>
    <row r="89">
      <c r="A89" s="37"/>
      <c r="B89" s="361"/>
      <c r="C89" s="309">
        <v>7.0</v>
      </c>
      <c r="D89" s="360" t="s">
        <v>151</v>
      </c>
      <c r="E89" s="572">
        <v>10.0</v>
      </c>
      <c r="F89" s="572">
        <v>5.0</v>
      </c>
      <c r="G89" s="509"/>
      <c r="H89" s="572">
        <v>14.0</v>
      </c>
      <c r="I89" s="508">
        <v>4.5</v>
      </c>
      <c r="J89" s="509"/>
      <c r="K89" s="508" t="s">
        <v>78</v>
      </c>
      <c r="L89" s="508" t="s">
        <v>134</v>
      </c>
      <c r="M89" s="511" t="s">
        <v>73</v>
      </c>
      <c r="O89" s="25"/>
      <c r="P89" s="543">
        <v>3200.0</v>
      </c>
      <c r="Q89" s="473"/>
      <c r="R89" s="473"/>
      <c r="S89" s="473"/>
      <c r="T89" s="467">
        <f t="shared" si="7"/>
        <v>113</v>
      </c>
      <c r="U89" s="422"/>
      <c r="V89" s="265"/>
    </row>
    <row r="90" ht="27.0" customHeight="1">
      <c r="A90" s="37"/>
      <c r="B90" s="265"/>
      <c r="C90" s="265"/>
      <c r="D90" s="265"/>
      <c r="E90" s="265"/>
      <c r="F90" s="265"/>
      <c r="G90" s="265"/>
      <c r="H90" s="265"/>
      <c r="I90" s="265"/>
      <c r="J90" s="292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</row>
    <row r="91">
      <c r="A91" s="37"/>
      <c r="B91" s="265"/>
      <c r="C91" s="294" t="s">
        <v>209</v>
      </c>
      <c r="D91" s="295"/>
      <c r="E91" s="296" t="s">
        <v>241</v>
      </c>
      <c r="F91" s="297"/>
      <c r="G91" s="297"/>
      <c r="H91" s="297"/>
      <c r="I91" s="297"/>
      <c r="J91" s="297"/>
      <c r="K91" s="297"/>
      <c r="L91" s="297"/>
      <c r="M91" s="282"/>
      <c r="N91" s="298" t="s">
        <v>211</v>
      </c>
      <c r="O91" s="268"/>
      <c r="P91" s="57"/>
      <c r="Q91" s="286"/>
      <c r="R91" s="268"/>
      <c r="S91" s="57"/>
      <c r="T91" s="292"/>
      <c r="U91" s="265"/>
      <c r="V91" s="265"/>
    </row>
    <row r="92">
      <c r="A92" s="37"/>
      <c r="B92" s="265"/>
      <c r="C92" s="301" t="s">
        <v>214</v>
      </c>
      <c r="D92" s="372">
        <v>46094.0</v>
      </c>
      <c r="E92" s="303" t="s">
        <v>215</v>
      </c>
      <c r="F92" s="22"/>
      <c r="G92" s="28"/>
      <c r="H92" s="304" t="s">
        <v>216</v>
      </c>
      <c r="I92" s="297"/>
      <c r="J92" s="282"/>
      <c r="K92" s="304"/>
      <c r="L92" s="297"/>
      <c r="M92" s="282"/>
      <c r="N92" s="304"/>
      <c r="O92" s="297"/>
      <c r="P92" s="282"/>
      <c r="Q92" s="304"/>
      <c r="R92" s="297"/>
      <c r="S92" s="282"/>
      <c r="T92" s="265"/>
      <c r="U92" s="265"/>
      <c r="V92" s="265"/>
    </row>
    <row r="93">
      <c r="A93" s="37"/>
      <c r="B93" s="470" t="s">
        <v>255</v>
      </c>
      <c r="C93" s="306" t="s">
        <v>221</v>
      </c>
      <c r="D93" s="306" t="s">
        <v>222</v>
      </c>
      <c r="E93" s="301" t="s">
        <v>223</v>
      </c>
      <c r="F93" s="301" t="s">
        <v>224</v>
      </c>
      <c r="G93" s="301" t="s">
        <v>66</v>
      </c>
      <c r="H93" s="301" t="s">
        <v>223</v>
      </c>
      <c r="I93" s="301" t="s">
        <v>224</v>
      </c>
      <c r="J93" s="301" t="s">
        <v>66</v>
      </c>
      <c r="K93" s="301" t="s">
        <v>268</v>
      </c>
      <c r="L93" s="301" t="s">
        <v>269</v>
      </c>
      <c r="M93" s="468" t="s">
        <v>270</v>
      </c>
      <c r="N93" s="282"/>
      <c r="O93" s="301" t="s">
        <v>271</v>
      </c>
      <c r="P93" s="301"/>
      <c r="Q93" s="301"/>
      <c r="R93" s="301"/>
      <c r="S93" s="301"/>
      <c r="T93" s="307" t="s">
        <v>225</v>
      </c>
      <c r="U93" s="421" t="s">
        <v>263</v>
      </c>
      <c r="V93" s="265"/>
    </row>
    <row r="94">
      <c r="A94" s="37"/>
      <c r="B94" s="308"/>
      <c r="C94" s="309">
        <v>1.0</v>
      </c>
      <c r="D94" s="360" t="s">
        <v>154</v>
      </c>
      <c r="E94" s="413">
        <v>10.0</v>
      </c>
      <c r="F94" s="442">
        <v>20.0</v>
      </c>
      <c r="G94" s="414"/>
      <c r="H94" s="413">
        <v>10.0</v>
      </c>
      <c r="I94" s="442">
        <v>20.0</v>
      </c>
      <c r="J94" s="317"/>
      <c r="K94" s="312">
        <v>2.0</v>
      </c>
      <c r="L94" s="209">
        <v>45573.0</v>
      </c>
      <c r="M94" s="218"/>
      <c r="N94" s="218"/>
      <c r="O94" s="316"/>
      <c r="P94" s="317"/>
      <c r="Q94" s="318"/>
      <c r="R94" s="316"/>
      <c r="S94" s="318"/>
      <c r="T94" s="319">
        <f t="shared" ref="T94:T99" si="8">(E94*F94)+(H94*I94)</f>
        <v>400</v>
      </c>
      <c r="U94" s="422"/>
      <c r="V94" s="265"/>
    </row>
    <row r="95" ht="33.75" customHeight="1">
      <c r="A95" s="37"/>
      <c r="B95" s="308"/>
      <c r="C95" s="330">
        <v>2.0</v>
      </c>
      <c r="D95" s="358" t="s">
        <v>155</v>
      </c>
      <c r="E95" s="427">
        <v>12.0</v>
      </c>
      <c r="F95" s="427">
        <v>20.0</v>
      </c>
      <c r="G95" s="416"/>
      <c r="H95" s="427">
        <v>11.0</v>
      </c>
      <c r="I95" s="427">
        <v>20.0</v>
      </c>
      <c r="J95" s="339"/>
      <c r="K95" s="333" t="s">
        <v>78</v>
      </c>
      <c r="L95" s="459">
        <v>45636.0</v>
      </c>
      <c r="M95" s="455" t="s">
        <v>73</v>
      </c>
      <c r="O95" s="338"/>
      <c r="P95" s="339"/>
      <c r="Q95" s="336"/>
      <c r="R95" s="338"/>
      <c r="S95" s="336"/>
      <c r="T95" s="319">
        <f t="shared" si="8"/>
        <v>460</v>
      </c>
      <c r="U95" s="422"/>
      <c r="V95" s="265"/>
    </row>
    <row r="96">
      <c r="A96" s="37"/>
      <c r="B96" s="308"/>
      <c r="C96" s="309">
        <v>3.0</v>
      </c>
      <c r="D96" s="360" t="s">
        <v>156</v>
      </c>
      <c r="E96" s="428">
        <v>8.0</v>
      </c>
      <c r="F96" s="428">
        <v>70.0</v>
      </c>
      <c r="G96" s="418"/>
      <c r="H96" s="417">
        <v>8.0</v>
      </c>
      <c r="I96" s="428">
        <v>70.0</v>
      </c>
      <c r="J96" s="344"/>
      <c r="K96" s="342">
        <v>2.0</v>
      </c>
      <c r="L96" s="236">
        <v>45875.0</v>
      </c>
      <c r="M96" s="218"/>
      <c r="N96" s="218"/>
      <c r="O96" s="346"/>
      <c r="P96" s="344"/>
      <c r="Q96" s="318"/>
      <c r="R96" s="346"/>
      <c r="S96" s="318"/>
      <c r="T96" s="319">
        <f t="shared" si="8"/>
        <v>1120</v>
      </c>
      <c r="U96" s="422"/>
      <c r="V96" s="265"/>
    </row>
    <row r="97" ht="34.5" customHeight="1">
      <c r="A97" s="37"/>
      <c r="B97" s="308"/>
      <c r="C97" s="330">
        <v>4.0</v>
      </c>
      <c r="D97" s="358" t="s">
        <v>159</v>
      </c>
      <c r="E97" s="415">
        <v>12.0</v>
      </c>
      <c r="F97" s="427">
        <v>65.0</v>
      </c>
      <c r="G97" s="416"/>
      <c r="H97" s="415">
        <v>12.0</v>
      </c>
      <c r="I97" s="427">
        <v>65.0</v>
      </c>
      <c r="J97" s="339"/>
      <c r="K97" s="333">
        <v>2.0</v>
      </c>
      <c r="L97" s="459">
        <v>45636.0</v>
      </c>
      <c r="M97" s="462"/>
      <c r="N97" s="462"/>
      <c r="O97" s="338"/>
      <c r="P97" s="339"/>
      <c r="Q97" s="336"/>
      <c r="R97" s="338"/>
      <c r="S97" s="336"/>
      <c r="T97" s="319">
        <f t="shared" si="8"/>
        <v>1560</v>
      </c>
      <c r="U97" s="422"/>
      <c r="V97" s="265"/>
    </row>
    <row r="98">
      <c r="A98" s="37"/>
      <c r="B98" s="308"/>
      <c r="C98" s="309">
        <v>5.0</v>
      </c>
      <c r="D98" s="341" t="s">
        <v>275</v>
      </c>
      <c r="E98" s="428">
        <v>10.0</v>
      </c>
      <c r="F98" s="428">
        <v>50.0</v>
      </c>
      <c r="G98" s="418"/>
      <c r="H98" s="428">
        <v>10.0</v>
      </c>
      <c r="I98" s="428">
        <v>50.0</v>
      </c>
      <c r="J98" s="344"/>
      <c r="K98" s="342">
        <v>2.0</v>
      </c>
      <c r="L98" s="463">
        <v>45938.0</v>
      </c>
      <c r="M98" s="241"/>
      <c r="N98" s="241"/>
      <c r="O98" s="346"/>
      <c r="P98" s="344"/>
      <c r="Q98" s="318"/>
      <c r="R98" s="346"/>
      <c r="S98" s="318"/>
      <c r="T98" s="319">
        <f t="shared" si="8"/>
        <v>1000</v>
      </c>
      <c r="U98" s="422"/>
      <c r="V98" s="265"/>
    </row>
    <row r="99">
      <c r="A99" s="37"/>
      <c r="B99" s="361"/>
      <c r="C99" s="330">
        <v>6.0</v>
      </c>
      <c r="D99" s="358" t="s">
        <v>107</v>
      </c>
      <c r="E99" s="427">
        <v>14.0</v>
      </c>
      <c r="F99" s="415">
        <v>10.0</v>
      </c>
      <c r="G99" s="419"/>
      <c r="H99" s="427">
        <v>16.0</v>
      </c>
      <c r="I99" s="427">
        <v>10.0</v>
      </c>
      <c r="J99" s="339"/>
      <c r="K99" s="338" t="s">
        <v>78</v>
      </c>
      <c r="L99" s="436" t="s">
        <v>134</v>
      </c>
      <c r="M99" s="455" t="s">
        <v>73</v>
      </c>
      <c r="O99" s="338">
        <v>3100.0</v>
      </c>
      <c r="P99" s="462"/>
      <c r="Q99" s="462"/>
      <c r="R99" s="462"/>
      <c r="S99" s="462"/>
      <c r="T99" s="319">
        <f t="shared" si="8"/>
        <v>300</v>
      </c>
      <c r="U99" s="422"/>
      <c r="V99" s="265"/>
    </row>
    <row r="100" ht="31.5" customHeight="1">
      <c r="A100" s="37"/>
      <c r="B100" s="265"/>
      <c r="C100" s="309">
        <v>7.0</v>
      </c>
      <c r="D100" s="360" t="s">
        <v>163</v>
      </c>
      <c r="E100" s="428">
        <v>14.0</v>
      </c>
      <c r="F100" s="428">
        <v>5.0</v>
      </c>
      <c r="G100" s="420"/>
      <c r="H100" s="428">
        <v>16.0</v>
      </c>
      <c r="I100" s="428">
        <v>5.0</v>
      </c>
      <c r="J100" s="344"/>
      <c r="K100" s="342" t="s">
        <v>78</v>
      </c>
      <c r="L100" s="244" t="s">
        <v>134</v>
      </c>
      <c r="M100" s="97" t="s">
        <v>73</v>
      </c>
      <c r="O100" s="346">
        <v>3101.0</v>
      </c>
      <c r="P100" s="344"/>
      <c r="Q100" s="277"/>
      <c r="R100" s="277"/>
      <c r="S100" s="277"/>
      <c r="T100" s="292"/>
      <c r="U100" s="265"/>
      <c r="V100" s="265"/>
    </row>
    <row r="101" ht="26.25" customHeight="1">
      <c r="A101" s="37"/>
      <c r="B101" s="265"/>
      <c r="C101" s="277"/>
      <c r="D101" s="277"/>
      <c r="E101" s="570"/>
      <c r="F101" s="570"/>
      <c r="G101" s="570"/>
      <c r="H101" s="571"/>
      <c r="I101" s="571"/>
      <c r="J101" s="571"/>
      <c r="K101" s="571"/>
      <c r="L101" s="571"/>
      <c r="M101" s="571"/>
      <c r="N101" s="277"/>
      <c r="O101" s="277"/>
      <c r="P101" s="277"/>
      <c r="Q101" s="277"/>
      <c r="R101" s="277"/>
      <c r="S101" s="277"/>
      <c r="T101" s="292"/>
      <c r="U101" s="265"/>
      <c r="V101" s="265"/>
    </row>
    <row r="102">
      <c r="A102" s="37"/>
      <c r="B102" s="265"/>
      <c r="C102" s="294" t="s">
        <v>209</v>
      </c>
      <c r="D102" s="295"/>
      <c r="E102" s="296" t="s">
        <v>257</v>
      </c>
      <c r="F102" s="297"/>
      <c r="G102" s="297"/>
      <c r="H102" s="297"/>
      <c r="I102" s="297"/>
      <c r="J102" s="297"/>
      <c r="K102" s="297"/>
      <c r="L102" s="297"/>
      <c r="M102" s="282"/>
      <c r="N102" s="298" t="s">
        <v>211</v>
      </c>
      <c r="O102" s="268"/>
      <c r="P102" s="57"/>
      <c r="Q102" s="286"/>
      <c r="R102" s="268"/>
      <c r="S102" s="57"/>
      <c r="T102" s="292"/>
      <c r="U102" s="265"/>
      <c r="V102" s="265"/>
    </row>
    <row r="103">
      <c r="A103" s="37"/>
      <c r="B103" s="265"/>
      <c r="C103" s="301" t="s">
        <v>214</v>
      </c>
      <c r="D103" s="372">
        <v>46099.0</v>
      </c>
      <c r="E103" s="303" t="s">
        <v>215</v>
      </c>
      <c r="F103" s="22"/>
      <c r="G103" s="28"/>
      <c r="H103" s="304" t="s">
        <v>216</v>
      </c>
      <c r="I103" s="297"/>
      <c r="J103" s="282"/>
      <c r="K103" s="304"/>
      <c r="L103" s="297"/>
      <c r="M103" s="282"/>
      <c r="N103" s="304"/>
      <c r="O103" s="297"/>
      <c r="P103" s="282"/>
      <c r="Q103" s="304"/>
      <c r="R103" s="297"/>
      <c r="S103" s="282"/>
      <c r="T103" s="265"/>
      <c r="U103" s="265"/>
      <c r="V103" s="265"/>
    </row>
    <row r="104">
      <c r="A104" s="37"/>
      <c r="B104" s="470" t="s">
        <v>256</v>
      </c>
      <c r="C104" s="306" t="s">
        <v>221</v>
      </c>
      <c r="D104" s="306" t="s">
        <v>222</v>
      </c>
      <c r="E104" s="301" t="s">
        <v>223</v>
      </c>
      <c r="F104" s="301" t="s">
        <v>224</v>
      </c>
      <c r="G104" s="301" t="s">
        <v>66</v>
      </c>
      <c r="H104" s="301" t="s">
        <v>223</v>
      </c>
      <c r="I104" s="301" t="s">
        <v>224</v>
      </c>
      <c r="J104" s="301" t="s">
        <v>66</v>
      </c>
      <c r="K104" s="301" t="s">
        <v>64</v>
      </c>
      <c r="L104" s="301" t="s">
        <v>223</v>
      </c>
      <c r="M104" s="444" t="s">
        <v>266</v>
      </c>
      <c r="N104" s="282"/>
      <c r="O104" s="301" t="s">
        <v>271</v>
      </c>
      <c r="P104" s="301"/>
      <c r="Q104" s="301"/>
      <c r="R104" s="301"/>
      <c r="S104" s="301"/>
      <c r="T104" s="307" t="s">
        <v>225</v>
      </c>
      <c r="U104" s="421" t="s">
        <v>263</v>
      </c>
      <c r="V104" s="265"/>
    </row>
    <row r="105">
      <c r="A105" s="37"/>
      <c r="B105" s="308"/>
      <c r="C105" s="561">
        <v>1.0</v>
      </c>
      <c r="D105" s="373" t="s">
        <v>127</v>
      </c>
      <c r="E105" s="312">
        <v>12.0</v>
      </c>
      <c r="F105" s="312">
        <v>13.0</v>
      </c>
      <c r="G105" s="318"/>
      <c r="H105" s="313">
        <v>14.0</v>
      </c>
      <c r="I105" s="312">
        <v>12.0</v>
      </c>
      <c r="J105" s="317"/>
      <c r="K105" s="312">
        <v>2.0</v>
      </c>
      <c r="L105" s="312" t="s">
        <v>134</v>
      </c>
      <c r="M105" s="318"/>
      <c r="O105" s="25"/>
      <c r="P105" s="317"/>
      <c r="Q105" s="318"/>
      <c r="R105" s="316"/>
      <c r="S105" s="318"/>
      <c r="T105" s="467">
        <f t="shared" ref="T105:T110" si="9">(E105*F105)+(H105*I105)</f>
        <v>324</v>
      </c>
      <c r="U105" s="422"/>
      <c r="V105" s="265"/>
    </row>
    <row r="106">
      <c r="A106" s="37"/>
      <c r="B106" s="308"/>
      <c r="C106" s="562">
        <v>2.0</v>
      </c>
      <c r="D106" s="377" t="s">
        <v>178</v>
      </c>
      <c r="E106" s="423">
        <v>9.0</v>
      </c>
      <c r="F106" s="333">
        <v>60.0</v>
      </c>
      <c r="G106" s="336"/>
      <c r="H106" s="334">
        <v>8.0</v>
      </c>
      <c r="I106" s="333">
        <v>60.0</v>
      </c>
      <c r="J106" s="339"/>
      <c r="K106" s="339">
        <v>2.0</v>
      </c>
      <c r="L106" s="440">
        <v>45938.0</v>
      </c>
      <c r="M106" s="336"/>
      <c r="O106" s="25"/>
      <c r="P106" s="339"/>
      <c r="Q106" s="336"/>
      <c r="R106" s="338"/>
      <c r="S106" s="336"/>
      <c r="T106" s="467">
        <f t="shared" si="9"/>
        <v>1020</v>
      </c>
      <c r="U106" s="422"/>
      <c r="V106" s="265"/>
    </row>
    <row r="107">
      <c r="A107" s="37"/>
      <c r="B107" s="308"/>
      <c r="C107" s="561">
        <v>3.0</v>
      </c>
      <c r="D107" s="382" t="s">
        <v>179</v>
      </c>
      <c r="E107" s="259">
        <v>8.0</v>
      </c>
      <c r="F107" s="383">
        <v>55.0</v>
      </c>
      <c r="G107" s="318"/>
      <c r="H107" s="343">
        <v>6.0</v>
      </c>
      <c r="I107" s="342">
        <v>50.0</v>
      </c>
      <c r="J107" s="344"/>
      <c r="K107" s="481">
        <v>2.0</v>
      </c>
      <c r="L107" s="432">
        <v>45510.0</v>
      </c>
      <c r="M107" s="318"/>
      <c r="O107" s="25"/>
      <c r="P107" s="344"/>
      <c r="Q107" s="318"/>
      <c r="R107" s="346"/>
      <c r="S107" s="318"/>
      <c r="T107" s="467">
        <f t="shared" si="9"/>
        <v>740</v>
      </c>
      <c r="U107" s="422"/>
      <c r="V107" s="265"/>
    </row>
    <row r="108">
      <c r="A108" s="37"/>
      <c r="B108" s="308"/>
      <c r="C108" s="562">
        <v>4.0</v>
      </c>
      <c r="D108" s="377" t="s">
        <v>180</v>
      </c>
      <c r="E108" s="423">
        <v>10.0</v>
      </c>
      <c r="F108" s="379">
        <v>30.0</v>
      </c>
      <c r="G108" s="336"/>
      <c r="H108" s="334">
        <v>10.0</v>
      </c>
      <c r="I108" s="333">
        <v>30.0</v>
      </c>
      <c r="J108" s="339"/>
      <c r="K108" s="339">
        <v>2.0</v>
      </c>
      <c r="L108" s="440">
        <v>45938.0</v>
      </c>
      <c r="M108" s="336"/>
      <c r="O108" s="25"/>
      <c r="P108" s="339"/>
      <c r="Q108" s="336"/>
      <c r="R108" s="338"/>
      <c r="S108" s="336"/>
      <c r="T108" s="467">
        <f t="shared" si="9"/>
        <v>600</v>
      </c>
      <c r="U108" s="422"/>
      <c r="V108" s="265"/>
    </row>
    <row r="109">
      <c r="A109" s="37"/>
      <c r="B109" s="308"/>
      <c r="C109" s="561">
        <v>5.0</v>
      </c>
      <c r="D109" s="382" t="s">
        <v>141</v>
      </c>
      <c r="E109" s="259">
        <v>14.0</v>
      </c>
      <c r="F109" s="383">
        <v>15.0</v>
      </c>
      <c r="G109" s="318"/>
      <c r="H109" s="343">
        <v>14.0</v>
      </c>
      <c r="I109" s="342">
        <v>12.5</v>
      </c>
      <c r="J109" s="344"/>
      <c r="K109" s="481" t="s">
        <v>78</v>
      </c>
      <c r="L109" s="566" t="s">
        <v>108</v>
      </c>
      <c r="M109" s="100" t="s">
        <v>73</v>
      </c>
      <c r="O109" s="25"/>
      <c r="P109" s="344">
        <v>3101.0</v>
      </c>
      <c r="Q109" s="318"/>
      <c r="R109" s="346"/>
      <c r="S109" s="318"/>
      <c r="T109" s="467">
        <f t="shared" si="9"/>
        <v>385</v>
      </c>
      <c r="U109" s="422"/>
      <c r="V109" s="265"/>
    </row>
    <row r="110">
      <c r="A110" s="37"/>
      <c r="B110" s="361"/>
      <c r="C110" s="562">
        <v>6.0</v>
      </c>
      <c r="D110" s="331" t="s">
        <v>139</v>
      </c>
      <c r="E110" s="423">
        <v>12.0</v>
      </c>
      <c r="F110" s="379">
        <v>35.0</v>
      </c>
      <c r="G110" s="336"/>
      <c r="H110" s="334">
        <v>14.0</v>
      </c>
      <c r="I110" s="333">
        <v>35.0</v>
      </c>
      <c r="J110" s="339"/>
      <c r="K110" s="339" t="s">
        <v>78</v>
      </c>
      <c r="L110" s="440">
        <v>45999.0</v>
      </c>
      <c r="M110" s="336" t="s">
        <v>97</v>
      </c>
      <c r="O110" s="25"/>
      <c r="P110" s="339"/>
      <c r="Q110" s="462"/>
      <c r="R110" s="462"/>
      <c r="S110" s="462"/>
      <c r="T110" s="467">
        <f t="shared" si="9"/>
        <v>910</v>
      </c>
      <c r="U110" s="422"/>
      <c r="V110" s="265"/>
    </row>
    <row r="111" ht="33.0" customHeight="1">
      <c r="A111" s="37"/>
      <c r="B111" s="37"/>
      <c r="C111" s="309">
        <v>7.0</v>
      </c>
      <c r="D111" s="382" t="s">
        <v>88</v>
      </c>
      <c r="E111" s="259">
        <v>10.0</v>
      </c>
      <c r="F111" s="383">
        <v>10.0</v>
      </c>
      <c r="G111" s="318"/>
      <c r="H111" s="343">
        <v>14.0</v>
      </c>
      <c r="I111" s="342">
        <v>8.0</v>
      </c>
      <c r="J111" s="344"/>
      <c r="K111" s="481" t="s">
        <v>78</v>
      </c>
      <c r="L111" s="566" t="s">
        <v>108</v>
      </c>
      <c r="M111" s="100" t="s">
        <v>73</v>
      </c>
      <c r="O111" s="25"/>
      <c r="P111" s="472">
        <v>3101.0</v>
      </c>
      <c r="Q111" s="318"/>
      <c r="R111" s="346"/>
      <c r="S111" s="318"/>
      <c r="T111" s="37"/>
      <c r="U111" s="37"/>
      <c r="V111" s="37"/>
    </row>
    <row r="112" ht="36.0" customHeight="1">
      <c r="A112" s="37"/>
      <c r="B112" s="265"/>
      <c r="C112" s="277"/>
      <c r="D112" s="277"/>
      <c r="E112" s="565"/>
      <c r="F112" s="565"/>
      <c r="G112" s="565"/>
      <c r="H112" s="565"/>
      <c r="I112" s="565"/>
      <c r="J112" s="565"/>
      <c r="K112" s="488"/>
      <c r="L112" s="277"/>
      <c r="M112" s="271"/>
      <c r="N112" s="277"/>
      <c r="O112" s="277"/>
      <c r="P112" s="277"/>
      <c r="Q112" s="277"/>
      <c r="R112" s="277"/>
      <c r="S112" s="277"/>
      <c r="T112" s="292"/>
      <c r="U112" s="265"/>
      <c r="V112" s="265"/>
    </row>
    <row r="113">
      <c r="A113" s="37"/>
      <c r="B113" s="265"/>
      <c r="C113" s="294" t="s">
        <v>209</v>
      </c>
      <c r="D113" s="295"/>
      <c r="E113" s="296" t="s">
        <v>244</v>
      </c>
      <c r="F113" s="297"/>
      <c r="G113" s="297"/>
      <c r="H113" s="297"/>
      <c r="I113" s="297"/>
      <c r="J113" s="297"/>
      <c r="K113" s="297"/>
      <c r="L113" s="297"/>
      <c r="M113" s="282"/>
      <c r="N113" s="298" t="s">
        <v>211</v>
      </c>
      <c r="O113" s="268"/>
      <c r="P113" s="57"/>
      <c r="Q113" s="286"/>
      <c r="R113" s="268"/>
      <c r="S113" s="57"/>
      <c r="T113" s="292"/>
      <c r="U113" s="265"/>
      <c r="V113" s="265"/>
    </row>
    <row r="114" ht="48.0" customHeight="1">
      <c r="A114" s="37"/>
      <c r="B114" s="265"/>
      <c r="C114" s="301" t="s">
        <v>214</v>
      </c>
      <c r="D114" s="372">
        <v>46100.0</v>
      </c>
      <c r="E114" s="303" t="s">
        <v>215</v>
      </c>
      <c r="F114" s="22"/>
      <c r="G114" s="28"/>
      <c r="H114" s="304" t="s">
        <v>216</v>
      </c>
      <c r="I114" s="297"/>
      <c r="J114" s="282"/>
      <c r="K114" s="304"/>
      <c r="L114" s="297"/>
      <c r="M114" s="282"/>
      <c r="N114" s="304"/>
      <c r="O114" s="297"/>
      <c r="P114" s="282"/>
      <c r="Q114" s="304"/>
      <c r="R114" s="297"/>
      <c r="S114" s="282"/>
      <c r="T114" s="265"/>
      <c r="U114" s="265"/>
      <c r="V114" s="265"/>
    </row>
    <row r="115" ht="48.0" customHeight="1">
      <c r="A115" s="574"/>
      <c r="B115" s="456" t="s">
        <v>258</v>
      </c>
      <c r="C115" s="306" t="s">
        <v>221</v>
      </c>
      <c r="D115" s="306" t="s">
        <v>222</v>
      </c>
      <c r="E115" s="301" t="s">
        <v>223</v>
      </c>
      <c r="F115" s="301" t="s">
        <v>224</v>
      </c>
      <c r="G115" s="301" t="s">
        <v>66</v>
      </c>
      <c r="H115" s="301" t="s">
        <v>223</v>
      </c>
      <c r="I115" s="301" t="s">
        <v>224</v>
      </c>
      <c r="J115" s="301" t="s">
        <v>66</v>
      </c>
      <c r="K115" s="301" t="s">
        <v>64</v>
      </c>
      <c r="L115" s="301" t="s">
        <v>223</v>
      </c>
      <c r="M115" s="444" t="s">
        <v>266</v>
      </c>
      <c r="N115" s="282"/>
      <c r="O115" s="301" t="s">
        <v>271</v>
      </c>
      <c r="P115" s="301"/>
      <c r="Q115" s="301"/>
      <c r="R115" s="301"/>
      <c r="S115" s="301"/>
      <c r="T115" s="307" t="s">
        <v>225</v>
      </c>
      <c r="U115" s="421" t="s">
        <v>263</v>
      </c>
      <c r="V115" s="293"/>
    </row>
    <row r="116">
      <c r="A116" s="37"/>
      <c r="B116" s="308"/>
      <c r="C116" s="561">
        <v>1.0</v>
      </c>
      <c r="D116" s="373" t="s">
        <v>167</v>
      </c>
      <c r="E116" s="374">
        <v>12.0</v>
      </c>
      <c r="F116" s="375">
        <v>60.0</v>
      </c>
      <c r="G116" s="384"/>
      <c r="H116" s="376">
        <v>12.0</v>
      </c>
      <c r="I116" s="375">
        <v>60.0</v>
      </c>
      <c r="J116" s="317"/>
      <c r="K116" s="317">
        <v>2.0</v>
      </c>
      <c r="L116" s="209">
        <v>45634.0</v>
      </c>
      <c r="M116" s="100" t="s">
        <v>124</v>
      </c>
      <c r="O116" s="25"/>
      <c r="P116" s="472">
        <v>3101.0</v>
      </c>
      <c r="Q116" s="222"/>
      <c r="R116" s="316"/>
      <c r="S116" s="316"/>
      <c r="T116" s="319">
        <f t="shared" ref="T116:T122" si="10">(E116*F116)+(H116*I116)</f>
        <v>1440</v>
      </c>
      <c r="U116" s="422"/>
      <c r="V116" s="265"/>
    </row>
    <row r="117">
      <c r="A117" s="37"/>
      <c r="B117" s="308"/>
      <c r="C117" s="562">
        <v>2.0</v>
      </c>
      <c r="D117" s="377" t="s">
        <v>189</v>
      </c>
      <c r="E117" s="378">
        <v>12.0</v>
      </c>
      <c r="F117" s="379">
        <v>30.0</v>
      </c>
      <c r="G117" s="380"/>
      <c r="H117" s="381">
        <v>12.0</v>
      </c>
      <c r="I117" s="379">
        <v>20.0</v>
      </c>
      <c r="J117" s="339"/>
      <c r="K117" s="335" t="s">
        <v>78</v>
      </c>
      <c r="L117" s="440">
        <v>46001.0</v>
      </c>
      <c r="M117" s="336" t="s">
        <v>97</v>
      </c>
      <c r="O117" s="25"/>
      <c r="P117" s="339">
        <v>3101.0</v>
      </c>
      <c r="Q117" s="436"/>
      <c r="R117" s="338"/>
      <c r="S117" s="338"/>
      <c r="T117" s="319">
        <f t="shared" si="10"/>
        <v>600</v>
      </c>
      <c r="U117" s="422"/>
      <c r="V117" s="265"/>
    </row>
    <row r="118">
      <c r="A118" s="37"/>
      <c r="B118" s="308"/>
      <c r="C118" s="561">
        <v>3.0</v>
      </c>
      <c r="D118" s="382" t="s">
        <v>277</v>
      </c>
      <c r="E118" s="374">
        <v>16.0</v>
      </c>
      <c r="F118" s="383">
        <v>60.0</v>
      </c>
      <c r="G118" s="384"/>
      <c r="H118" s="385">
        <v>16.0</v>
      </c>
      <c r="I118" s="383">
        <v>50.0</v>
      </c>
      <c r="J118" s="344"/>
      <c r="K118" s="344" t="s">
        <v>78</v>
      </c>
      <c r="L118" s="437" t="s">
        <v>134</v>
      </c>
      <c r="M118" s="100" t="s">
        <v>97</v>
      </c>
      <c r="O118" s="25"/>
      <c r="P118" s="473">
        <v>3001.0</v>
      </c>
      <c r="Q118" s="209"/>
      <c r="R118" s="346"/>
      <c r="S118" s="346"/>
      <c r="T118" s="319">
        <f t="shared" si="10"/>
        <v>1760</v>
      </c>
      <c r="U118" s="422"/>
      <c r="V118" s="265"/>
    </row>
    <row r="119">
      <c r="A119" s="37"/>
      <c r="B119" s="308"/>
      <c r="C119" s="562">
        <v>4.0</v>
      </c>
      <c r="D119" s="377" t="s">
        <v>191</v>
      </c>
      <c r="E119" s="378">
        <v>10.0</v>
      </c>
      <c r="F119" s="379">
        <v>140.0</v>
      </c>
      <c r="G119" s="380"/>
      <c r="H119" s="439">
        <v>9.0</v>
      </c>
      <c r="I119" s="379">
        <v>120.0</v>
      </c>
      <c r="J119" s="339"/>
      <c r="K119" s="339">
        <v>2.0</v>
      </c>
      <c r="L119" s="440">
        <v>45938.0</v>
      </c>
      <c r="M119" s="332"/>
      <c r="N119" s="332"/>
      <c r="O119" s="335"/>
      <c r="P119" s="339">
        <v>3001.0</v>
      </c>
      <c r="Q119" s="459"/>
      <c r="R119" s="338"/>
      <c r="S119" s="338"/>
      <c r="T119" s="319">
        <f t="shared" si="10"/>
        <v>2480</v>
      </c>
      <c r="U119" s="422"/>
      <c r="V119" s="265"/>
    </row>
    <row r="120">
      <c r="A120" s="37"/>
      <c r="B120" s="308"/>
      <c r="C120" s="561">
        <v>5.0</v>
      </c>
      <c r="D120" s="382" t="s">
        <v>192</v>
      </c>
      <c r="E120" s="374">
        <v>6.0</v>
      </c>
      <c r="F120" s="383">
        <v>80.0</v>
      </c>
      <c r="G120" s="384"/>
      <c r="H120" s="385">
        <v>8.0</v>
      </c>
      <c r="I120" s="383">
        <v>70.0</v>
      </c>
      <c r="J120" s="344"/>
      <c r="K120" s="344">
        <v>2.0</v>
      </c>
      <c r="L120" s="432">
        <v>45510.0</v>
      </c>
      <c r="M120" s="218"/>
      <c r="O120" s="25"/>
      <c r="P120" s="473"/>
      <c r="Q120" s="239"/>
      <c r="R120" s="346"/>
      <c r="S120" s="346"/>
      <c r="T120" s="319">
        <f t="shared" si="10"/>
        <v>1040</v>
      </c>
      <c r="U120" s="422"/>
      <c r="V120" s="265"/>
    </row>
    <row r="121">
      <c r="A121" s="37"/>
      <c r="B121" s="308"/>
      <c r="C121" s="562">
        <v>6.0</v>
      </c>
      <c r="D121" s="331" t="s">
        <v>267</v>
      </c>
      <c r="E121" s="378">
        <v>12.0</v>
      </c>
      <c r="F121" s="379">
        <v>40.0</v>
      </c>
      <c r="G121" s="380"/>
      <c r="H121" s="381">
        <v>8.0</v>
      </c>
      <c r="I121" s="379">
        <v>40.0</v>
      </c>
      <c r="J121" s="339"/>
      <c r="K121" s="339" t="s">
        <v>113</v>
      </c>
      <c r="L121" s="474">
        <v>45999.0</v>
      </c>
      <c r="M121" s="337" t="s">
        <v>97</v>
      </c>
      <c r="O121" s="25"/>
      <c r="P121" s="338">
        <v>3202.0</v>
      </c>
      <c r="Q121" s="424"/>
      <c r="R121" s="338"/>
      <c r="S121" s="338"/>
      <c r="T121" s="319">
        <f t="shared" si="10"/>
        <v>800</v>
      </c>
      <c r="U121" s="422"/>
      <c r="V121" s="265"/>
    </row>
    <row r="122" ht="33.0" customHeight="1">
      <c r="A122" s="37"/>
      <c r="B122" s="361"/>
      <c r="C122" s="561">
        <v>7.0</v>
      </c>
      <c r="D122" s="506"/>
      <c r="E122" s="508"/>
      <c r="F122" s="508"/>
      <c r="G122" s="509"/>
      <c r="H122" s="508"/>
      <c r="I122" s="508"/>
      <c r="J122" s="509"/>
      <c r="K122" s="508"/>
      <c r="L122" s="508"/>
      <c r="M122" s="511"/>
      <c r="O122" s="25"/>
      <c r="P122" s="346"/>
      <c r="Q122" s="342"/>
      <c r="R122" s="342"/>
      <c r="S122" s="342"/>
      <c r="T122" s="319">
        <f t="shared" si="10"/>
        <v>0</v>
      </c>
      <c r="U122" s="422"/>
      <c r="V122" s="37"/>
    </row>
    <row r="123" ht="33.0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37"/>
      <c r="B124" s="265"/>
      <c r="C124" s="294" t="s">
        <v>209</v>
      </c>
      <c r="D124" s="295"/>
      <c r="E124" s="296" t="s">
        <v>248</v>
      </c>
      <c r="F124" s="297"/>
      <c r="G124" s="297"/>
      <c r="H124" s="297"/>
      <c r="I124" s="297"/>
      <c r="J124" s="297"/>
      <c r="K124" s="297"/>
      <c r="L124" s="297"/>
      <c r="M124" s="282"/>
      <c r="N124" s="298" t="s">
        <v>211</v>
      </c>
      <c r="O124" s="268"/>
      <c r="P124" s="57"/>
      <c r="Q124" s="286"/>
      <c r="R124" s="268"/>
      <c r="S124" s="57"/>
      <c r="T124" s="292"/>
      <c r="U124" s="265"/>
      <c r="V124" s="265"/>
    </row>
    <row r="125">
      <c r="A125" s="37"/>
      <c r="B125" s="265"/>
      <c r="C125" s="301" t="s">
        <v>214</v>
      </c>
      <c r="D125" s="372">
        <v>46102.0</v>
      </c>
      <c r="E125" s="303" t="s">
        <v>215</v>
      </c>
      <c r="F125" s="22"/>
      <c r="G125" s="28"/>
      <c r="H125" s="304" t="s">
        <v>216</v>
      </c>
      <c r="I125" s="297"/>
      <c r="J125" s="282"/>
      <c r="K125" s="304"/>
      <c r="L125" s="297"/>
      <c r="M125" s="282"/>
      <c r="N125" s="304"/>
      <c r="O125" s="297"/>
      <c r="P125" s="282"/>
      <c r="Q125" s="304"/>
      <c r="R125" s="297"/>
      <c r="S125" s="282"/>
      <c r="T125" s="265"/>
      <c r="U125" s="265"/>
      <c r="V125" s="265"/>
    </row>
    <row r="126">
      <c r="A126" s="37"/>
      <c r="B126" s="456" t="s">
        <v>259</v>
      </c>
      <c r="C126" s="306" t="s">
        <v>221</v>
      </c>
      <c r="D126" s="306" t="s">
        <v>222</v>
      </c>
      <c r="E126" s="301" t="s">
        <v>223</v>
      </c>
      <c r="F126" s="301" t="s">
        <v>224</v>
      </c>
      <c r="G126" s="301" t="s">
        <v>66</v>
      </c>
      <c r="H126" s="301" t="s">
        <v>223</v>
      </c>
      <c r="I126" s="301" t="s">
        <v>224</v>
      </c>
      <c r="J126" s="301" t="s">
        <v>66</v>
      </c>
      <c r="K126" s="301" t="s">
        <v>268</v>
      </c>
      <c r="L126" s="301" t="s">
        <v>269</v>
      </c>
      <c r="M126" s="468" t="s">
        <v>270</v>
      </c>
      <c r="N126" s="282"/>
      <c r="O126" s="301" t="s">
        <v>271</v>
      </c>
      <c r="P126" s="301"/>
      <c r="Q126" s="301"/>
      <c r="R126" s="301"/>
      <c r="S126" s="466"/>
      <c r="T126" s="307" t="s">
        <v>225</v>
      </c>
      <c r="U126" s="421" t="s">
        <v>263</v>
      </c>
      <c r="V126" s="265"/>
    </row>
    <row r="127">
      <c r="A127" s="37"/>
      <c r="B127" s="308"/>
      <c r="C127" s="309">
        <v>1.0</v>
      </c>
      <c r="D127" s="373" t="s">
        <v>130</v>
      </c>
      <c r="E127" s="259">
        <v>12.0</v>
      </c>
      <c r="F127" s="375">
        <v>14.0</v>
      </c>
      <c r="G127" s="384"/>
      <c r="H127" s="376">
        <v>12.0</v>
      </c>
      <c r="I127" s="375">
        <v>14.0</v>
      </c>
      <c r="J127" s="315"/>
      <c r="K127" s="316">
        <v>2.0</v>
      </c>
      <c r="L127" s="236">
        <v>45999.0</v>
      </c>
      <c r="M127" s="345"/>
      <c r="N127" s="25"/>
      <c r="O127" s="316"/>
      <c r="P127" s="316"/>
      <c r="Q127" s="222"/>
      <c r="R127" s="316"/>
      <c r="S127" s="316"/>
      <c r="T127" s="467">
        <f t="shared" ref="T127:T133" si="11">(E127*F127)+(H127*I127)</f>
        <v>336</v>
      </c>
      <c r="U127" s="422"/>
      <c r="V127" s="265"/>
    </row>
    <row r="128">
      <c r="A128" s="37"/>
      <c r="B128" s="308"/>
      <c r="C128" s="330">
        <v>2.0</v>
      </c>
      <c r="D128" s="377" t="s">
        <v>183</v>
      </c>
      <c r="E128" s="423">
        <v>16.0</v>
      </c>
      <c r="F128" s="379">
        <v>15.0</v>
      </c>
      <c r="G128" s="380"/>
      <c r="H128" s="381">
        <v>17.0</v>
      </c>
      <c r="I128" s="379">
        <v>15.0</v>
      </c>
      <c r="J128" s="337"/>
      <c r="K128" s="338" t="s">
        <v>78</v>
      </c>
      <c r="L128" s="436" t="s">
        <v>134</v>
      </c>
      <c r="M128" s="337" t="s">
        <v>73</v>
      </c>
      <c r="N128" s="25"/>
      <c r="O128" s="338">
        <v>3101.0</v>
      </c>
      <c r="P128" s="338"/>
      <c r="Q128" s="436"/>
      <c r="R128" s="338"/>
      <c r="S128" s="338"/>
      <c r="T128" s="467">
        <f t="shared" si="11"/>
        <v>495</v>
      </c>
      <c r="U128" s="422"/>
      <c r="V128" s="265"/>
    </row>
    <row r="129">
      <c r="A129" s="37"/>
      <c r="B129" s="308"/>
      <c r="C129" s="309">
        <v>3.0</v>
      </c>
      <c r="D129" s="382" t="s">
        <v>131</v>
      </c>
      <c r="E129" s="259">
        <v>12.0</v>
      </c>
      <c r="F129" s="383">
        <v>55.0</v>
      </c>
      <c r="H129" s="385">
        <v>9.0</v>
      </c>
      <c r="I129" s="383">
        <v>55.0</v>
      </c>
      <c r="J129" s="345"/>
      <c r="K129" s="346">
        <v>2.0</v>
      </c>
      <c r="L129" s="236">
        <v>46001.0</v>
      </c>
      <c r="M129" s="345"/>
      <c r="N129" s="25"/>
      <c r="O129" s="346"/>
      <c r="P129" s="346"/>
      <c r="Q129" s="209"/>
      <c r="R129" s="346"/>
      <c r="S129" s="346"/>
      <c r="T129" s="467">
        <f t="shared" si="11"/>
        <v>1155</v>
      </c>
      <c r="U129" s="422"/>
      <c r="V129" s="265"/>
    </row>
    <row r="130">
      <c r="A130" s="37"/>
      <c r="B130" s="308"/>
      <c r="C130" s="330">
        <v>4.0</v>
      </c>
      <c r="D130" s="377" t="s">
        <v>106</v>
      </c>
      <c r="E130" s="423">
        <v>10.0</v>
      </c>
      <c r="F130" s="379">
        <v>80.0</v>
      </c>
      <c r="G130" s="380"/>
      <c r="H130" s="381">
        <v>8.0</v>
      </c>
      <c r="I130" s="379">
        <v>80.0</v>
      </c>
      <c r="J130" s="337"/>
      <c r="K130" s="338">
        <v>2.0</v>
      </c>
      <c r="L130" s="459">
        <v>45573.0</v>
      </c>
      <c r="M130" s="337"/>
      <c r="N130" s="25"/>
      <c r="O130" s="338">
        <v>3101.0</v>
      </c>
      <c r="P130" s="338"/>
      <c r="Q130" s="459"/>
      <c r="R130" s="338"/>
      <c r="S130" s="338"/>
      <c r="T130" s="467">
        <f t="shared" si="11"/>
        <v>1440</v>
      </c>
      <c r="U130" s="422"/>
      <c r="V130" s="265"/>
    </row>
    <row r="131">
      <c r="A131" s="37"/>
      <c r="B131" s="308"/>
      <c r="C131" s="309">
        <v>5.0</v>
      </c>
      <c r="D131" s="382" t="s">
        <v>185</v>
      </c>
      <c r="E131" s="244">
        <v>12.0</v>
      </c>
      <c r="F131" s="383">
        <v>80.0</v>
      </c>
      <c r="G131" s="384"/>
      <c r="H131" s="385">
        <v>10.0</v>
      </c>
      <c r="I131" s="383">
        <v>80.0</v>
      </c>
      <c r="J131" s="345"/>
      <c r="K131" s="346">
        <v>2.0</v>
      </c>
      <c r="L131" s="239">
        <v>45636.0</v>
      </c>
      <c r="M131" s="345"/>
      <c r="N131" s="25"/>
      <c r="O131" s="346"/>
      <c r="P131" s="346"/>
      <c r="Q131" s="239"/>
      <c r="R131" s="346"/>
      <c r="S131" s="346"/>
      <c r="T131" s="467">
        <f t="shared" si="11"/>
        <v>1760</v>
      </c>
      <c r="U131" s="422"/>
      <c r="V131" s="265"/>
    </row>
    <row r="132">
      <c r="A132" s="37"/>
      <c r="B132" s="308"/>
      <c r="C132" s="330">
        <v>6.0</v>
      </c>
      <c r="D132" s="331" t="s">
        <v>186</v>
      </c>
      <c r="E132" s="423">
        <v>12.0</v>
      </c>
      <c r="F132" s="379">
        <v>70.0</v>
      </c>
      <c r="G132" s="380"/>
      <c r="H132" s="381">
        <v>12.0</v>
      </c>
      <c r="I132" s="379">
        <v>60.0</v>
      </c>
      <c r="J132" s="337"/>
      <c r="K132" s="338">
        <v>2.0</v>
      </c>
      <c r="L132" s="424">
        <v>46001.0</v>
      </c>
      <c r="M132" s="337"/>
      <c r="N132" s="25"/>
      <c r="O132" s="338"/>
      <c r="P132" s="338"/>
      <c r="Q132" s="424"/>
      <c r="R132" s="338"/>
      <c r="S132" s="338"/>
      <c r="T132" s="467">
        <f t="shared" si="11"/>
        <v>1560</v>
      </c>
      <c r="U132" s="422"/>
      <c r="V132" s="265"/>
    </row>
    <row r="133">
      <c r="A133" s="37"/>
      <c r="B133" s="361"/>
      <c r="C133" s="309">
        <v>7.0</v>
      </c>
      <c r="D133" s="382" t="s">
        <v>187</v>
      </c>
      <c r="E133" s="259">
        <v>12.0</v>
      </c>
      <c r="F133" s="342">
        <v>12.5</v>
      </c>
      <c r="G133" s="318"/>
      <c r="H133" s="343">
        <v>14.0</v>
      </c>
      <c r="I133" s="342">
        <v>12.5</v>
      </c>
      <c r="J133" s="345"/>
      <c r="K133" s="346" t="s">
        <v>78</v>
      </c>
      <c r="L133" s="236">
        <v>45999.0</v>
      </c>
      <c r="M133" s="100" t="s">
        <v>73</v>
      </c>
      <c r="O133" s="261">
        <v>3101.0</v>
      </c>
      <c r="P133" s="342"/>
      <c r="Q133" s="239"/>
      <c r="R133" s="346"/>
      <c r="S133" s="261"/>
      <c r="T133" s="467">
        <f t="shared" si="11"/>
        <v>325</v>
      </c>
      <c r="U133" s="422"/>
      <c r="V133" s="265"/>
    </row>
    <row r="134">
      <c r="A134" s="37"/>
      <c r="B134" s="569">
        <v>1.0</v>
      </c>
      <c r="C134" s="265"/>
      <c r="D134" s="265"/>
      <c r="E134" s="265"/>
      <c r="F134" s="265"/>
      <c r="G134" s="265"/>
      <c r="H134" s="265"/>
      <c r="I134" s="265"/>
      <c r="J134" s="265"/>
      <c r="K134" s="292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</row>
    <row r="135">
      <c r="A135" s="37"/>
      <c r="B135" s="265"/>
      <c r="C135" s="294" t="s">
        <v>209</v>
      </c>
      <c r="D135" s="295"/>
      <c r="E135" s="296" t="s">
        <v>233</v>
      </c>
      <c r="F135" s="297"/>
      <c r="G135" s="297"/>
      <c r="H135" s="297"/>
      <c r="I135" s="297"/>
      <c r="J135" s="297"/>
      <c r="K135" s="297"/>
      <c r="L135" s="297"/>
      <c r="M135" s="282"/>
      <c r="N135" s="298" t="s">
        <v>211</v>
      </c>
      <c r="O135" s="268"/>
      <c r="P135" s="57"/>
      <c r="Q135" s="286"/>
      <c r="R135" s="268"/>
      <c r="S135" s="57"/>
      <c r="T135" s="292"/>
      <c r="U135" s="265"/>
      <c r="V135" s="265"/>
    </row>
    <row r="136">
      <c r="A136" s="37"/>
      <c r="B136" s="265"/>
      <c r="C136" s="301" t="s">
        <v>214</v>
      </c>
      <c r="D136" s="372">
        <v>46105.0</v>
      </c>
      <c r="E136" s="303" t="s">
        <v>215</v>
      </c>
      <c r="F136" s="22"/>
      <c r="G136" s="28"/>
      <c r="H136" s="304" t="s">
        <v>216</v>
      </c>
      <c r="I136" s="297"/>
      <c r="J136" s="282"/>
      <c r="K136" s="304"/>
      <c r="L136" s="297"/>
      <c r="M136" s="282"/>
      <c r="N136" s="304"/>
      <c r="O136" s="297"/>
      <c r="P136" s="282"/>
      <c r="Q136" s="304"/>
      <c r="R136" s="297"/>
      <c r="S136" s="282"/>
      <c r="T136" s="265"/>
      <c r="U136" s="265"/>
      <c r="V136" s="265"/>
    </row>
    <row r="137">
      <c r="A137" s="37"/>
      <c r="B137" s="470" t="s">
        <v>251</v>
      </c>
      <c r="C137" s="306" t="s">
        <v>221</v>
      </c>
      <c r="D137" s="306" t="s">
        <v>222</v>
      </c>
      <c r="E137" s="301" t="s">
        <v>223</v>
      </c>
      <c r="F137" s="301" t="s">
        <v>224</v>
      </c>
      <c r="G137" s="301" t="s">
        <v>66</v>
      </c>
      <c r="H137" s="301" t="s">
        <v>223</v>
      </c>
      <c r="I137" s="301" t="s">
        <v>224</v>
      </c>
      <c r="J137" s="301" t="s">
        <v>66</v>
      </c>
      <c r="K137" s="301" t="s">
        <v>268</v>
      </c>
      <c r="L137" s="301" t="s">
        <v>269</v>
      </c>
      <c r="M137" s="468" t="s">
        <v>270</v>
      </c>
      <c r="N137" s="297"/>
      <c r="O137" s="282"/>
      <c r="P137" s="301" t="s">
        <v>271</v>
      </c>
      <c r="Q137" s="468"/>
      <c r="R137" s="297"/>
      <c r="S137" s="282"/>
      <c r="T137" s="307" t="s">
        <v>225</v>
      </c>
      <c r="U137" s="421" t="s">
        <v>263</v>
      </c>
      <c r="V137" s="265"/>
    </row>
    <row r="138">
      <c r="A138" s="37"/>
      <c r="B138" s="308"/>
      <c r="C138" s="309">
        <v>1.0</v>
      </c>
      <c r="D138" s="360" t="s">
        <v>104</v>
      </c>
      <c r="E138" s="510">
        <v>12.0</v>
      </c>
      <c r="F138" s="508">
        <v>10.0</v>
      </c>
      <c r="G138" s="509"/>
      <c r="H138" s="510">
        <v>12.0</v>
      </c>
      <c r="I138" s="508">
        <v>10.0</v>
      </c>
      <c r="J138" s="509"/>
      <c r="K138" s="508">
        <v>2.0</v>
      </c>
      <c r="L138" s="524">
        <v>45634.0</v>
      </c>
      <c r="M138" s="537" t="s">
        <v>124</v>
      </c>
      <c r="O138" s="25"/>
      <c r="P138" s="472"/>
      <c r="Q138" s="485"/>
      <c r="R138" s="491"/>
      <c r="S138" s="472"/>
      <c r="T138" s="467">
        <f t="shared" ref="T138:T144" si="12">(E138*F138)+(H138*I138)</f>
        <v>240</v>
      </c>
      <c r="U138" s="422"/>
      <c r="V138" s="265"/>
    </row>
    <row r="139">
      <c r="A139" s="37"/>
      <c r="B139" s="308"/>
      <c r="C139" s="330">
        <v>2.0</v>
      </c>
      <c r="D139" s="358" t="s">
        <v>145</v>
      </c>
      <c r="E139" s="520">
        <v>10.0</v>
      </c>
      <c r="F139" s="563">
        <v>80.0</v>
      </c>
      <c r="G139" s="518"/>
      <c r="H139" s="564">
        <v>9.0</v>
      </c>
      <c r="I139" s="563">
        <v>80.0</v>
      </c>
      <c r="J139" s="518"/>
      <c r="K139" s="517">
        <v>2.0</v>
      </c>
      <c r="L139" s="539">
        <v>45938.0</v>
      </c>
      <c r="M139" s="527"/>
      <c r="O139" s="25"/>
      <c r="P139" s="339"/>
      <c r="Q139" s="336"/>
      <c r="R139" s="339"/>
      <c r="S139" s="339"/>
      <c r="T139" s="467">
        <f t="shared" si="12"/>
        <v>1520</v>
      </c>
      <c r="U139" s="422"/>
      <c r="V139" s="265"/>
    </row>
    <row r="140">
      <c r="A140" s="37"/>
      <c r="B140" s="308"/>
      <c r="C140" s="309">
        <v>3.0</v>
      </c>
      <c r="D140" s="360" t="s">
        <v>146</v>
      </c>
      <c r="E140" s="523">
        <v>8.0</v>
      </c>
      <c r="F140" s="572">
        <v>28.0</v>
      </c>
      <c r="G140" s="509"/>
      <c r="H140" s="523">
        <v>6.0</v>
      </c>
      <c r="I140" s="572">
        <v>28.0</v>
      </c>
      <c r="J140" s="509"/>
      <c r="K140" s="508">
        <v>2.0</v>
      </c>
      <c r="L140" s="524">
        <v>45509.0</v>
      </c>
      <c r="M140" s="187"/>
      <c r="O140" s="25"/>
      <c r="P140" s="473"/>
      <c r="Q140" s="485"/>
      <c r="R140" s="491"/>
      <c r="S140" s="473"/>
      <c r="T140" s="467">
        <f t="shared" si="12"/>
        <v>392</v>
      </c>
      <c r="U140" s="422"/>
      <c r="V140" s="265"/>
    </row>
    <row r="141">
      <c r="A141" s="37"/>
      <c r="B141" s="308"/>
      <c r="C141" s="330">
        <v>4.0</v>
      </c>
      <c r="D141" s="358" t="s">
        <v>76</v>
      </c>
      <c r="E141" s="564">
        <v>14.0</v>
      </c>
      <c r="F141" s="563">
        <v>10.0</v>
      </c>
      <c r="G141" s="518"/>
      <c r="H141" s="564">
        <v>12.0</v>
      </c>
      <c r="I141" s="563">
        <v>10.0</v>
      </c>
      <c r="J141" s="518"/>
      <c r="K141" s="517" t="s">
        <v>78</v>
      </c>
      <c r="L141" s="517" t="s">
        <v>108</v>
      </c>
      <c r="M141" s="541" t="s">
        <v>97</v>
      </c>
      <c r="O141" s="25"/>
      <c r="P141" s="542">
        <v>3101.0</v>
      </c>
      <c r="Q141" s="332"/>
      <c r="R141" s="335"/>
      <c r="S141" s="339"/>
      <c r="T141" s="467">
        <f t="shared" si="12"/>
        <v>260</v>
      </c>
      <c r="U141" s="422"/>
      <c r="V141" s="265"/>
    </row>
    <row r="142">
      <c r="A142" s="37"/>
      <c r="B142" s="308"/>
      <c r="C142" s="309">
        <v>5.0</v>
      </c>
      <c r="D142" s="341" t="s">
        <v>147</v>
      </c>
      <c r="E142" s="510">
        <v>14.0</v>
      </c>
      <c r="F142" s="572">
        <v>6.0</v>
      </c>
      <c r="G142" s="509"/>
      <c r="H142" s="510">
        <v>16.0</v>
      </c>
      <c r="I142" s="572">
        <v>6.0</v>
      </c>
      <c r="J142" s="509"/>
      <c r="K142" s="508" t="s">
        <v>78</v>
      </c>
      <c r="L142" s="507" t="s">
        <v>134</v>
      </c>
      <c r="M142" s="537" t="s">
        <v>73</v>
      </c>
      <c r="O142" s="25"/>
      <c r="P142" s="543">
        <v>3101.0</v>
      </c>
      <c r="Q142" s="228"/>
      <c r="R142" s="418"/>
      <c r="S142" s="473"/>
      <c r="T142" s="467">
        <f t="shared" si="12"/>
        <v>180</v>
      </c>
      <c r="U142" s="422"/>
      <c r="V142" s="265"/>
    </row>
    <row r="143">
      <c r="A143" s="37"/>
      <c r="B143" s="308"/>
      <c r="C143" s="330">
        <v>6.0</v>
      </c>
      <c r="D143" s="358" t="s">
        <v>149</v>
      </c>
      <c r="E143" s="520">
        <v>12.0</v>
      </c>
      <c r="F143" s="563">
        <v>25.0</v>
      </c>
      <c r="G143" s="518"/>
      <c r="H143" s="564">
        <v>10.0</v>
      </c>
      <c r="I143" s="563">
        <v>25.0</v>
      </c>
      <c r="J143" s="518"/>
      <c r="K143" s="517">
        <v>2.0</v>
      </c>
      <c r="L143" s="539">
        <v>45999.0</v>
      </c>
      <c r="M143" s="527"/>
      <c r="O143" s="25"/>
      <c r="P143" s="542">
        <v>3101.0</v>
      </c>
      <c r="Q143" s="336"/>
      <c r="R143" s="339"/>
      <c r="S143" s="338"/>
      <c r="T143" s="467">
        <f t="shared" si="12"/>
        <v>550</v>
      </c>
      <c r="U143" s="422"/>
      <c r="V143" s="265"/>
    </row>
    <row r="144">
      <c r="A144" s="37"/>
      <c r="B144" s="361"/>
      <c r="C144" s="309">
        <v>7.0</v>
      </c>
      <c r="D144" s="360" t="s">
        <v>151</v>
      </c>
      <c r="E144" s="572">
        <v>10.0</v>
      </c>
      <c r="F144" s="572">
        <v>5.0</v>
      </c>
      <c r="G144" s="509"/>
      <c r="H144" s="572">
        <v>14.0</v>
      </c>
      <c r="I144" s="508">
        <v>4.5</v>
      </c>
      <c r="J144" s="509"/>
      <c r="K144" s="508" t="s">
        <v>78</v>
      </c>
      <c r="L144" s="508" t="s">
        <v>134</v>
      </c>
      <c r="M144" s="511" t="s">
        <v>73</v>
      </c>
      <c r="O144" s="25"/>
      <c r="P144" s="543">
        <v>3200.0</v>
      </c>
      <c r="Q144" s="485"/>
      <c r="S144" s="25"/>
      <c r="T144" s="467">
        <f t="shared" si="12"/>
        <v>113</v>
      </c>
      <c r="U144" s="422"/>
      <c r="V144" s="265"/>
    </row>
    <row r="145">
      <c r="A145" s="264"/>
      <c r="B145" s="368"/>
      <c r="C145" s="265"/>
      <c r="D145" s="265"/>
      <c r="E145" s="265"/>
      <c r="F145" s="265"/>
      <c r="G145" s="265"/>
      <c r="H145" s="265"/>
      <c r="I145" s="265"/>
      <c r="J145" s="292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</row>
    <row r="146">
      <c r="A146" s="37"/>
      <c r="B146" s="265"/>
      <c r="C146" s="294" t="s">
        <v>209</v>
      </c>
      <c r="D146" s="295"/>
      <c r="E146" s="296" t="s">
        <v>241</v>
      </c>
      <c r="F146" s="297"/>
      <c r="G146" s="297"/>
      <c r="H146" s="297"/>
      <c r="I146" s="297"/>
      <c r="J146" s="297"/>
      <c r="K146" s="297"/>
      <c r="L146" s="297"/>
      <c r="M146" s="282"/>
      <c r="N146" s="298" t="s">
        <v>211</v>
      </c>
      <c r="O146" s="268"/>
      <c r="P146" s="57"/>
      <c r="Q146" s="286"/>
      <c r="R146" s="268"/>
      <c r="S146" s="57"/>
      <c r="T146" s="292"/>
      <c r="U146" s="265"/>
      <c r="V146" s="265"/>
    </row>
    <row r="147">
      <c r="A147" s="37"/>
      <c r="B147" s="265"/>
      <c r="C147" s="301" t="s">
        <v>214</v>
      </c>
      <c r="D147" s="372">
        <v>46108.0</v>
      </c>
      <c r="E147" s="303" t="s">
        <v>215</v>
      </c>
      <c r="F147" s="22"/>
      <c r="G147" s="28"/>
      <c r="H147" s="304" t="s">
        <v>216</v>
      </c>
      <c r="I147" s="297"/>
      <c r="J147" s="282"/>
      <c r="K147" s="304"/>
      <c r="L147" s="297"/>
      <c r="M147" s="282"/>
      <c r="N147" s="304"/>
      <c r="O147" s="297"/>
      <c r="P147" s="282"/>
      <c r="Q147" s="304"/>
      <c r="R147" s="297"/>
      <c r="S147" s="282"/>
      <c r="T147" s="265"/>
      <c r="U147" s="265"/>
      <c r="V147" s="265"/>
    </row>
    <row r="148">
      <c r="A148" s="37"/>
      <c r="B148" s="470" t="s">
        <v>262</v>
      </c>
      <c r="C148" s="306" t="s">
        <v>221</v>
      </c>
      <c r="D148" s="306" t="s">
        <v>222</v>
      </c>
      <c r="E148" s="301" t="s">
        <v>223</v>
      </c>
      <c r="F148" s="301" t="s">
        <v>224</v>
      </c>
      <c r="G148" s="301" t="s">
        <v>66</v>
      </c>
      <c r="H148" s="301" t="s">
        <v>223</v>
      </c>
      <c r="I148" s="301" t="s">
        <v>224</v>
      </c>
      <c r="J148" s="301" t="s">
        <v>66</v>
      </c>
      <c r="K148" s="301" t="s">
        <v>268</v>
      </c>
      <c r="L148" s="301" t="s">
        <v>269</v>
      </c>
      <c r="M148" s="468" t="s">
        <v>270</v>
      </c>
      <c r="N148" s="282"/>
      <c r="O148" s="301" t="s">
        <v>271</v>
      </c>
      <c r="P148" s="301"/>
      <c r="Q148" s="468"/>
      <c r="R148" s="297"/>
      <c r="S148" s="282"/>
      <c r="T148" s="307" t="s">
        <v>225</v>
      </c>
      <c r="U148" s="421" t="s">
        <v>263</v>
      </c>
      <c r="V148" s="265"/>
    </row>
    <row r="149">
      <c r="A149" s="37"/>
      <c r="B149" s="308"/>
      <c r="C149" s="309">
        <v>1.0</v>
      </c>
      <c r="D149" s="360" t="s">
        <v>154</v>
      </c>
      <c r="E149" s="413">
        <v>10.0</v>
      </c>
      <c r="F149" s="442">
        <v>20.0</v>
      </c>
      <c r="G149" s="414"/>
      <c r="H149" s="413">
        <v>10.0</v>
      </c>
      <c r="I149" s="442">
        <v>20.0</v>
      </c>
      <c r="J149" s="317"/>
      <c r="K149" s="312">
        <v>2.0</v>
      </c>
      <c r="L149" s="209">
        <v>45573.0</v>
      </c>
      <c r="M149" s="218"/>
      <c r="N149" s="218"/>
      <c r="O149" s="316"/>
      <c r="P149" s="317"/>
      <c r="Q149" s="472"/>
      <c r="R149" s="472"/>
      <c r="S149" s="472"/>
      <c r="T149" s="467">
        <f t="shared" ref="T149:T155" si="13">(E149*F149)+(H149*I149)</f>
        <v>400</v>
      </c>
      <c r="U149" s="422"/>
      <c r="V149" s="265"/>
    </row>
    <row r="150">
      <c r="A150" s="37"/>
      <c r="B150" s="308"/>
      <c r="C150" s="330">
        <v>2.0</v>
      </c>
      <c r="D150" s="358" t="s">
        <v>155</v>
      </c>
      <c r="E150" s="427">
        <v>12.0</v>
      </c>
      <c r="F150" s="427">
        <v>20.0</v>
      </c>
      <c r="G150" s="416"/>
      <c r="H150" s="427">
        <v>11.0</v>
      </c>
      <c r="I150" s="427">
        <v>20.0</v>
      </c>
      <c r="J150" s="339"/>
      <c r="K150" s="333" t="s">
        <v>78</v>
      </c>
      <c r="L150" s="459">
        <v>45636.0</v>
      </c>
      <c r="M150" s="455" t="s">
        <v>73</v>
      </c>
      <c r="O150" s="338"/>
      <c r="P150" s="339"/>
      <c r="Q150" s="339"/>
      <c r="R150" s="339"/>
      <c r="S150" s="339"/>
      <c r="T150" s="467">
        <f t="shared" si="13"/>
        <v>460</v>
      </c>
      <c r="U150" s="422"/>
      <c r="V150" s="265"/>
    </row>
    <row r="151">
      <c r="A151" s="37"/>
      <c r="B151" s="308"/>
      <c r="C151" s="309">
        <v>3.0</v>
      </c>
      <c r="D151" s="360" t="s">
        <v>156</v>
      </c>
      <c r="E151" s="428">
        <v>8.0</v>
      </c>
      <c r="F151" s="428">
        <v>75.0</v>
      </c>
      <c r="G151" s="418"/>
      <c r="H151" s="428">
        <v>8.0</v>
      </c>
      <c r="I151" s="428">
        <v>75.0</v>
      </c>
      <c r="J151" s="344"/>
      <c r="K151" s="342">
        <v>2.0</v>
      </c>
      <c r="L151" s="236">
        <v>45875.0</v>
      </c>
      <c r="M151" s="218"/>
      <c r="N151" s="218"/>
      <c r="O151" s="346"/>
      <c r="P151" s="344"/>
      <c r="Q151" s="473"/>
      <c r="R151" s="473"/>
      <c r="S151" s="473"/>
      <c r="T151" s="467">
        <f t="shared" si="13"/>
        <v>1200</v>
      </c>
      <c r="U151" s="422"/>
      <c r="V151" s="265"/>
    </row>
    <row r="152">
      <c r="A152" s="37"/>
      <c r="B152" s="308"/>
      <c r="C152" s="330">
        <v>4.0</v>
      </c>
      <c r="D152" s="358" t="s">
        <v>159</v>
      </c>
      <c r="E152" s="415">
        <v>12.0</v>
      </c>
      <c r="F152" s="427">
        <v>65.0</v>
      </c>
      <c r="G152" s="416"/>
      <c r="H152" s="415">
        <v>12.0</v>
      </c>
      <c r="I152" s="427">
        <v>65.0</v>
      </c>
      <c r="J152" s="339"/>
      <c r="K152" s="333">
        <v>2.0</v>
      </c>
      <c r="L152" s="459">
        <v>45636.0</v>
      </c>
      <c r="M152" s="462"/>
      <c r="N152" s="462"/>
      <c r="O152" s="338"/>
      <c r="P152" s="339"/>
      <c r="Q152" s="339"/>
      <c r="R152" s="339"/>
      <c r="S152" s="339"/>
      <c r="T152" s="467">
        <f t="shared" si="13"/>
        <v>1560</v>
      </c>
      <c r="U152" s="422"/>
      <c r="V152" s="265"/>
    </row>
    <row r="153">
      <c r="A153" s="37"/>
      <c r="B153" s="308"/>
      <c r="C153" s="309">
        <v>5.0</v>
      </c>
      <c r="D153" s="341" t="s">
        <v>275</v>
      </c>
      <c r="E153" s="428">
        <v>10.0</v>
      </c>
      <c r="F153" s="428">
        <v>60.0</v>
      </c>
      <c r="G153" s="418"/>
      <c r="H153" s="428">
        <v>10.0</v>
      </c>
      <c r="I153" s="428">
        <v>60.0</v>
      </c>
      <c r="J153" s="344"/>
      <c r="K153" s="342">
        <v>2.0</v>
      </c>
      <c r="L153" s="463">
        <v>45938.0</v>
      </c>
      <c r="M153" s="241"/>
      <c r="N153" s="241"/>
      <c r="O153" s="346"/>
      <c r="P153" s="344"/>
      <c r="Q153" s="473"/>
      <c r="R153" s="473"/>
      <c r="S153" s="473"/>
      <c r="T153" s="467">
        <f t="shared" si="13"/>
        <v>1200</v>
      </c>
      <c r="U153" s="422"/>
      <c r="V153" s="265"/>
    </row>
    <row r="154">
      <c r="A154" s="37"/>
      <c r="B154" s="308"/>
      <c r="C154" s="330">
        <v>6.0</v>
      </c>
      <c r="D154" s="358" t="s">
        <v>107</v>
      </c>
      <c r="E154" s="427">
        <v>14.0</v>
      </c>
      <c r="F154" s="415">
        <v>10.0</v>
      </c>
      <c r="G154" s="419"/>
      <c r="H154" s="427">
        <v>16.0</v>
      </c>
      <c r="I154" s="427">
        <v>10.0</v>
      </c>
      <c r="J154" s="339"/>
      <c r="K154" s="338" t="s">
        <v>78</v>
      </c>
      <c r="L154" s="436" t="s">
        <v>134</v>
      </c>
      <c r="M154" s="455" t="s">
        <v>73</v>
      </c>
      <c r="O154" s="338">
        <v>3100.0</v>
      </c>
      <c r="P154" s="462"/>
      <c r="Q154" s="338"/>
      <c r="R154" s="338"/>
      <c r="S154" s="338"/>
      <c r="T154" s="467">
        <f t="shared" si="13"/>
        <v>300</v>
      </c>
      <c r="U154" s="422"/>
      <c r="V154" s="265"/>
    </row>
    <row r="155">
      <c r="A155" s="37"/>
      <c r="B155" s="361"/>
      <c r="C155" s="309">
        <v>7.0</v>
      </c>
      <c r="D155" s="360" t="s">
        <v>163</v>
      </c>
      <c r="E155" s="428">
        <v>14.0</v>
      </c>
      <c r="F155" s="428">
        <v>5.0</v>
      </c>
      <c r="G155" s="420"/>
      <c r="H155" s="428">
        <v>16.0</v>
      </c>
      <c r="I155" s="428">
        <v>5.0</v>
      </c>
      <c r="J155" s="344"/>
      <c r="K155" s="342" t="s">
        <v>78</v>
      </c>
      <c r="L155" s="244" t="s">
        <v>134</v>
      </c>
      <c r="M155" s="97" t="s">
        <v>73</v>
      </c>
      <c r="O155" s="346">
        <v>3101.0</v>
      </c>
      <c r="P155" s="344"/>
      <c r="Q155" s="473"/>
      <c r="R155" s="473"/>
      <c r="S155" s="473"/>
      <c r="T155" s="467">
        <f t="shared" si="13"/>
        <v>150</v>
      </c>
      <c r="U155" s="422"/>
      <c r="V155" s="265"/>
    </row>
    <row r="156" ht="24.0" customHeight="1">
      <c r="A156" s="37"/>
      <c r="B156" s="265"/>
      <c r="C156" s="265"/>
      <c r="D156" s="265"/>
      <c r="E156" s="265"/>
      <c r="F156" s="265"/>
      <c r="G156" s="265"/>
      <c r="H156" s="265"/>
      <c r="I156" s="265"/>
      <c r="J156" s="292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</row>
    <row r="157">
      <c r="A157" s="37"/>
      <c r="B157" s="265"/>
      <c r="C157" s="294" t="s">
        <v>209</v>
      </c>
      <c r="D157" s="295"/>
      <c r="E157" s="296"/>
      <c r="F157" s="297"/>
      <c r="G157" s="297"/>
      <c r="H157" s="297"/>
      <c r="I157" s="297"/>
      <c r="J157" s="297"/>
      <c r="K157" s="297"/>
      <c r="L157" s="297"/>
      <c r="M157" s="282"/>
      <c r="N157" s="298" t="s">
        <v>211</v>
      </c>
      <c r="O157" s="268"/>
      <c r="P157" s="57"/>
      <c r="Q157" s="286"/>
      <c r="R157" s="268"/>
      <c r="S157" s="57"/>
      <c r="T157" s="292"/>
      <c r="U157" s="265"/>
      <c r="V157" s="265"/>
    </row>
    <row r="158">
      <c r="A158" s="37"/>
      <c r="B158" s="265"/>
      <c r="C158" s="301" t="s">
        <v>214</v>
      </c>
      <c r="D158" s="372"/>
      <c r="E158" s="303" t="s">
        <v>215</v>
      </c>
      <c r="F158" s="22"/>
      <c r="G158" s="28"/>
      <c r="H158" s="304" t="s">
        <v>216</v>
      </c>
      <c r="I158" s="297"/>
      <c r="J158" s="282"/>
      <c r="K158" s="304"/>
      <c r="L158" s="297"/>
      <c r="M158" s="282"/>
      <c r="N158" s="304"/>
      <c r="O158" s="297"/>
      <c r="P158" s="282"/>
      <c r="Q158" s="304"/>
      <c r="R158" s="297"/>
      <c r="S158" s="282"/>
      <c r="T158" s="265"/>
      <c r="U158" s="265"/>
      <c r="V158" s="265"/>
    </row>
    <row r="159">
      <c r="A159" s="37"/>
      <c r="B159" s="470" t="s">
        <v>273</v>
      </c>
      <c r="C159" s="306" t="s">
        <v>221</v>
      </c>
      <c r="D159" s="306" t="s">
        <v>222</v>
      </c>
      <c r="E159" s="301" t="s">
        <v>223</v>
      </c>
      <c r="F159" s="301" t="s">
        <v>224</v>
      </c>
      <c r="G159" s="301" t="s">
        <v>66</v>
      </c>
      <c r="H159" s="301" t="s">
        <v>223</v>
      </c>
      <c r="I159" s="301" t="s">
        <v>224</v>
      </c>
      <c r="J159" s="301" t="s">
        <v>66</v>
      </c>
      <c r="K159" s="301" t="s">
        <v>268</v>
      </c>
      <c r="L159" s="301" t="s">
        <v>269</v>
      </c>
      <c r="M159" s="468" t="s">
        <v>270</v>
      </c>
      <c r="N159" s="297"/>
      <c r="O159" s="282"/>
      <c r="P159" s="301" t="s">
        <v>271</v>
      </c>
      <c r="Q159" s="301"/>
      <c r="R159" s="301"/>
      <c r="S159" s="301"/>
      <c r="T159" s="307" t="s">
        <v>225</v>
      </c>
      <c r="U159" s="421" t="s">
        <v>263</v>
      </c>
      <c r="V159" s="265"/>
    </row>
    <row r="160">
      <c r="A160" s="37"/>
      <c r="B160" s="308"/>
      <c r="C160" s="309">
        <v>1.0</v>
      </c>
      <c r="D160" s="360"/>
      <c r="E160" s="507"/>
      <c r="F160" s="508"/>
      <c r="G160" s="509"/>
      <c r="H160" s="507"/>
      <c r="I160" s="510"/>
      <c r="J160" s="509"/>
      <c r="K160" s="508"/>
      <c r="L160" s="507"/>
      <c r="M160" s="537"/>
      <c r="O160" s="25"/>
      <c r="P160" s="314"/>
      <c r="Q160" s="318"/>
      <c r="R160" s="316"/>
      <c r="S160" s="318"/>
      <c r="T160" s="319">
        <f t="shared" ref="T160:T165" si="14">(E160*F160)+(H160*I160)</f>
        <v>0</v>
      </c>
      <c r="U160" s="422"/>
      <c r="V160" s="265"/>
    </row>
    <row r="161">
      <c r="A161" s="37"/>
      <c r="B161" s="308"/>
      <c r="C161" s="330">
        <v>2.0</v>
      </c>
      <c r="D161" s="358"/>
      <c r="E161" s="516"/>
      <c r="F161" s="517"/>
      <c r="G161" s="518"/>
      <c r="H161" s="519"/>
      <c r="I161" s="520"/>
      <c r="J161" s="518"/>
      <c r="K161" s="517"/>
      <c r="L161" s="519"/>
      <c r="M161" s="521"/>
      <c r="O161" s="25"/>
      <c r="P161" s="335"/>
      <c r="Q161" s="336"/>
      <c r="R161" s="338"/>
      <c r="S161" s="336"/>
      <c r="T161" s="319">
        <f t="shared" si="14"/>
        <v>0</v>
      </c>
      <c r="U161" s="422"/>
      <c r="V161" s="265"/>
    </row>
    <row r="162">
      <c r="A162" s="37"/>
      <c r="B162" s="308"/>
      <c r="C162" s="309">
        <v>3.0</v>
      </c>
      <c r="D162" s="360"/>
      <c r="E162" s="507"/>
      <c r="F162" s="572"/>
      <c r="G162" s="509"/>
      <c r="H162" s="507"/>
      <c r="I162" s="523"/>
      <c r="J162" s="509"/>
      <c r="K162" s="508"/>
      <c r="L162" s="524"/>
      <c r="M162" s="187"/>
      <c r="O162" s="25"/>
      <c r="P162" s="344"/>
      <c r="Q162" s="318"/>
      <c r="R162" s="346"/>
      <c r="S162" s="318"/>
      <c r="T162" s="319">
        <f t="shared" si="14"/>
        <v>0</v>
      </c>
      <c r="U162" s="422"/>
      <c r="V162" s="265"/>
    </row>
    <row r="163">
      <c r="A163" s="37"/>
      <c r="B163" s="308"/>
      <c r="C163" s="330">
        <v>4.0</v>
      </c>
      <c r="D163" s="358"/>
      <c r="E163" s="519"/>
      <c r="F163" s="563"/>
      <c r="G163" s="518"/>
      <c r="H163" s="519"/>
      <c r="I163" s="564"/>
      <c r="J163" s="518"/>
      <c r="K163" s="517"/>
      <c r="L163" s="526"/>
      <c r="M163" s="527"/>
      <c r="O163" s="25"/>
      <c r="P163" s="339"/>
      <c r="Q163" s="336"/>
      <c r="R163" s="338"/>
      <c r="S163" s="336"/>
      <c r="T163" s="319">
        <f t="shared" si="14"/>
        <v>0</v>
      </c>
      <c r="U163" s="422"/>
      <c r="V163" s="265"/>
    </row>
    <row r="164">
      <c r="A164" s="37"/>
      <c r="B164" s="308"/>
      <c r="C164" s="309">
        <v>5.0</v>
      </c>
      <c r="D164" s="341"/>
      <c r="E164" s="529"/>
      <c r="F164" s="508"/>
      <c r="G164" s="509"/>
      <c r="H164" s="529"/>
      <c r="I164" s="510"/>
      <c r="J164" s="509"/>
      <c r="K164" s="508"/>
      <c r="L164" s="530"/>
      <c r="M164" s="537"/>
      <c r="O164" s="25"/>
      <c r="P164" s="344"/>
      <c r="Q164" s="318"/>
      <c r="R164" s="346"/>
      <c r="S164" s="318"/>
      <c r="T164" s="319">
        <f t="shared" si="14"/>
        <v>0</v>
      </c>
      <c r="U164" s="422"/>
      <c r="V164" s="265"/>
    </row>
    <row r="165">
      <c r="A165" s="37"/>
      <c r="B165" s="361"/>
      <c r="C165" s="330">
        <v>6.0</v>
      </c>
      <c r="D165" s="358"/>
      <c r="E165" s="519"/>
      <c r="F165" s="517"/>
      <c r="G165" s="518"/>
      <c r="H165" s="519"/>
      <c r="I165" s="520"/>
      <c r="J165" s="518"/>
      <c r="K165" s="517"/>
      <c r="L165" s="526"/>
      <c r="M165" s="527"/>
      <c r="O165" s="25"/>
      <c r="P165" s="335"/>
      <c r="Q165" s="462"/>
      <c r="R165" s="462"/>
      <c r="S165" s="462"/>
      <c r="T165" s="319">
        <f t="shared" si="14"/>
        <v>0</v>
      </c>
      <c r="U165" s="422"/>
      <c r="V165" s="265"/>
    </row>
    <row r="166">
      <c r="A166" s="37"/>
      <c r="B166" s="265"/>
      <c r="C166" s="309">
        <v>7.0</v>
      </c>
      <c r="D166" s="360"/>
      <c r="E166" s="259"/>
      <c r="F166" s="383"/>
      <c r="G166" s="318"/>
      <c r="H166" s="343"/>
      <c r="I166" s="342"/>
      <c r="J166" s="344"/>
      <c r="K166" s="481"/>
      <c r="L166" s="566"/>
      <c r="M166" s="100"/>
      <c r="O166" s="25"/>
      <c r="P166" s="472"/>
      <c r="Q166" s="277"/>
      <c r="R166" s="277"/>
      <c r="S166" s="277"/>
      <c r="T166" s="292"/>
      <c r="U166" s="265"/>
      <c r="V166" s="265"/>
    </row>
    <row r="167" ht="25.5" customHeight="1">
      <c r="A167" s="37"/>
      <c r="B167" s="265"/>
      <c r="C167" s="277"/>
      <c r="D167" s="277"/>
      <c r="E167" s="570"/>
      <c r="F167" s="570"/>
      <c r="G167" s="570"/>
      <c r="H167" s="571"/>
      <c r="I167" s="571"/>
      <c r="J167" s="571"/>
      <c r="K167" s="571"/>
      <c r="L167" s="571"/>
      <c r="M167" s="571"/>
      <c r="N167" s="277"/>
      <c r="O167" s="277"/>
      <c r="P167" s="277"/>
      <c r="Q167" s="277"/>
      <c r="R167" s="277"/>
      <c r="S167" s="277"/>
      <c r="T167" s="292"/>
      <c r="U167" s="265"/>
      <c r="V167" s="265"/>
    </row>
    <row r="168">
      <c r="A168" s="37"/>
      <c r="B168" s="265"/>
      <c r="C168" s="294" t="s">
        <v>209</v>
      </c>
      <c r="D168" s="295"/>
      <c r="E168" s="296"/>
      <c r="F168" s="297"/>
      <c r="G168" s="297"/>
      <c r="H168" s="297"/>
      <c r="I168" s="297"/>
      <c r="J168" s="297"/>
      <c r="K168" s="297"/>
      <c r="L168" s="297"/>
      <c r="M168" s="282"/>
      <c r="N168" s="298" t="s">
        <v>211</v>
      </c>
      <c r="O168" s="268"/>
      <c r="P168" s="57"/>
      <c r="Q168" s="286"/>
      <c r="R168" s="268"/>
      <c r="S168" s="57"/>
      <c r="T168" s="292"/>
      <c r="U168" s="265"/>
      <c r="V168" s="265"/>
    </row>
    <row r="169">
      <c r="A169" s="37"/>
      <c r="B169" s="265"/>
      <c r="C169" s="301" t="s">
        <v>214</v>
      </c>
      <c r="D169" s="372"/>
      <c r="E169" s="303" t="s">
        <v>215</v>
      </c>
      <c r="F169" s="22"/>
      <c r="G169" s="28"/>
      <c r="H169" s="304" t="s">
        <v>216</v>
      </c>
      <c r="I169" s="297"/>
      <c r="J169" s="282"/>
      <c r="K169" s="304"/>
      <c r="L169" s="297"/>
      <c r="M169" s="282"/>
      <c r="N169" s="304"/>
      <c r="O169" s="297"/>
      <c r="P169" s="282"/>
      <c r="Q169" s="304"/>
      <c r="R169" s="297"/>
      <c r="S169" s="282"/>
      <c r="T169" s="265"/>
      <c r="U169" s="265"/>
      <c r="V169" s="265"/>
    </row>
    <row r="170">
      <c r="A170" s="37"/>
      <c r="B170" s="470" t="s">
        <v>274</v>
      </c>
      <c r="C170" s="306" t="s">
        <v>221</v>
      </c>
      <c r="D170" s="306" t="s">
        <v>222</v>
      </c>
      <c r="E170" s="301" t="s">
        <v>223</v>
      </c>
      <c r="F170" s="301" t="s">
        <v>224</v>
      </c>
      <c r="G170" s="301" t="s">
        <v>66</v>
      </c>
      <c r="H170" s="301" t="s">
        <v>223</v>
      </c>
      <c r="I170" s="301" t="s">
        <v>224</v>
      </c>
      <c r="J170" s="301" t="s">
        <v>66</v>
      </c>
      <c r="K170" s="301" t="s">
        <v>268</v>
      </c>
      <c r="L170" s="301" t="s">
        <v>269</v>
      </c>
      <c r="M170" s="468" t="s">
        <v>270</v>
      </c>
      <c r="N170" s="282"/>
      <c r="O170" s="301" t="s">
        <v>271</v>
      </c>
      <c r="P170" s="301"/>
      <c r="Q170" s="301"/>
      <c r="R170" s="301"/>
      <c r="S170" s="301"/>
      <c r="T170" s="307" t="s">
        <v>225</v>
      </c>
      <c r="U170" s="421" t="s">
        <v>263</v>
      </c>
      <c r="V170" s="265"/>
    </row>
    <row r="171">
      <c r="A171" s="37"/>
      <c r="B171" s="308"/>
      <c r="C171" s="309">
        <v>1.0</v>
      </c>
      <c r="D171" s="360"/>
      <c r="E171" s="413"/>
      <c r="F171" s="442"/>
      <c r="G171" s="414"/>
      <c r="H171" s="413"/>
      <c r="I171" s="442"/>
      <c r="J171" s="317"/>
      <c r="K171" s="312"/>
      <c r="L171" s="209"/>
      <c r="M171" s="218"/>
      <c r="N171" s="218"/>
      <c r="O171" s="316"/>
      <c r="P171" s="317"/>
      <c r="Q171" s="318"/>
      <c r="R171" s="316"/>
      <c r="S171" s="318"/>
      <c r="T171" s="467">
        <f t="shared" ref="T171:T176" si="15">(E171*F171)+(H171*I171)</f>
        <v>0</v>
      </c>
      <c r="U171" s="422"/>
      <c r="V171" s="265"/>
    </row>
    <row r="172">
      <c r="A172" s="37"/>
      <c r="B172" s="308"/>
      <c r="C172" s="330">
        <v>2.0</v>
      </c>
      <c r="D172" s="358"/>
      <c r="E172" s="427"/>
      <c r="F172" s="427"/>
      <c r="G172" s="416"/>
      <c r="H172" s="427"/>
      <c r="I172" s="427"/>
      <c r="J172" s="339"/>
      <c r="K172" s="333"/>
      <c r="L172" s="459"/>
      <c r="M172" s="455"/>
      <c r="O172" s="338"/>
      <c r="P172" s="339"/>
      <c r="Q172" s="336"/>
      <c r="R172" s="338"/>
      <c r="S172" s="336"/>
      <c r="T172" s="467">
        <f t="shared" si="15"/>
        <v>0</v>
      </c>
      <c r="U172" s="422"/>
      <c r="V172" s="265"/>
    </row>
    <row r="173">
      <c r="A173" s="37"/>
      <c r="B173" s="308"/>
      <c r="C173" s="309">
        <v>3.0</v>
      </c>
      <c r="D173" s="360"/>
      <c r="E173" s="428"/>
      <c r="F173" s="428"/>
      <c r="G173" s="418"/>
      <c r="H173" s="417"/>
      <c r="I173" s="428"/>
      <c r="J173" s="344"/>
      <c r="K173" s="342"/>
      <c r="L173" s="236"/>
      <c r="M173" s="218"/>
      <c r="N173" s="218"/>
      <c r="O173" s="346"/>
      <c r="P173" s="344"/>
      <c r="Q173" s="318"/>
      <c r="R173" s="346"/>
      <c r="S173" s="318"/>
      <c r="T173" s="467">
        <f t="shared" si="15"/>
        <v>0</v>
      </c>
      <c r="U173" s="422"/>
      <c r="V173" s="265"/>
    </row>
    <row r="174">
      <c r="A174" s="37"/>
      <c r="B174" s="308"/>
      <c r="C174" s="330">
        <v>4.0</v>
      </c>
      <c r="D174" s="358"/>
      <c r="E174" s="415"/>
      <c r="F174" s="427"/>
      <c r="G174" s="416"/>
      <c r="H174" s="427"/>
      <c r="I174" s="427"/>
      <c r="J174" s="339"/>
      <c r="K174" s="333"/>
      <c r="L174" s="459"/>
      <c r="M174" s="462"/>
      <c r="N174" s="462"/>
      <c r="O174" s="338"/>
      <c r="P174" s="339"/>
      <c r="Q174" s="336"/>
      <c r="R174" s="338"/>
      <c r="S174" s="336"/>
      <c r="T174" s="467">
        <f t="shared" si="15"/>
        <v>0</v>
      </c>
      <c r="U174" s="422"/>
      <c r="V174" s="265"/>
    </row>
    <row r="175">
      <c r="A175" s="37"/>
      <c r="B175" s="308"/>
      <c r="C175" s="309">
        <v>5.0</v>
      </c>
      <c r="D175" s="341"/>
      <c r="E175" s="428"/>
      <c r="F175" s="428"/>
      <c r="G175" s="418"/>
      <c r="H175" s="428"/>
      <c r="I175" s="428"/>
      <c r="J175" s="344"/>
      <c r="K175" s="342"/>
      <c r="L175" s="463"/>
      <c r="M175" s="241"/>
      <c r="N175" s="241"/>
      <c r="O175" s="346"/>
      <c r="P175" s="344"/>
      <c r="Q175" s="318"/>
      <c r="R175" s="346"/>
      <c r="S175" s="318"/>
      <c r="T175" s="467">
        <f t="shared" si="15"/>
        <v>0</v>
      </c>
      <c r="U175" s="422"/>
      <c r="V175" s="265"/>
    </row>
    <row r="176">
      <c r="A176" s="37"/>
      <c r="B176" s="361"/>
      <c r="C176" s="330">
        <v>6.0</v>
      </c>
      <c r="D176" s="358"/>
      <c r="E176" s="427"/>
      <c r="F176" s="427"/>
      <c r="G176" s="419"/>
      <c r="H176" s="427"/>
      <c r="I176" s="489"/>
      <c r="J176" s="339"/>
      <c r="K176" s="338"/>
      <c r="L176" s="436"/>
      <c r="M176" s="455"/>
      <c r="O176" s="338"/>
      <c r="P176" s="462"/>
      <c r="Q176" s="462"/>
      <c r="R176" s="462"/>
      <c r="S176" s="462"/>
      <c r="T176" s="573">
        <f t="shared" si="15"/>
        <v>0</v>
      </c>
      <c r="U176" s="422"/>
      <c r="V176" s="265"/>
    </row>
    <row r="177">
      <c r="A177" s="37"/>
      <c r="B177" s="37"/>
      <c r="C177" s="309">
        <v>7.0</v>
      </c>
      <c r="D177" s="360"/>
      <c r="E177" s="428"/>
      <c r="F177" s="428"/>
      <c r="G177" s="420"/>
      <c r="H177" s="428"/>
      <c r="I177" s="428"/>
      <c r="J177" s="344"/>
      <c r="K177" s="342"/>
      <c r="L177" s="244"/>
      <c r="M177" s="97"/>
      <c r="O177" s="346"/>
      <c r="P177" s="344"/>
      <c r="Q177" s="318"/>
      <c r="R177" s="346"/>
      <c r="S177" s="318"/>
      <c r="T177" s="37"/>
      <c r="U177" s="37"/>
      <c r="V177" s="37"/>
    </row>
    <row r="178" ht="27.0" customHeight="1">
      <c r="A178" s="37"/>
      <c r="B178" s="265"/>
      <c r="C178" s="277"/>
      <c r="D178" s="277"/>
      <c r="E178" s="565"/>
      <c r="F178" s="565"/>
      <c r="G178" s="565"/>
      <c r="H178" s="565"/>
      <c r="I178" s="565"/>
      <c r="J178" s="565"/>
      <c r="K178" s="488"/>
      <c r="L178" s="277"/>
      <c r="M178" s="271"/>
      <c r="N178" s="277"/>
      <c r="O178" s="277"/>
      <c r="P178" s="277"/>
      <c r="Q178" s="277"/>
      <c r="R178" s="277"/>
      <c r="S178" s="277"/>
      <c r="T178" s="292"/>
      <c r="U178" s="265"/>
      <c r="V178" s="265"/>
    </row>
    <row r="179">
      <c r="A179" s="37"/>
      <c r="B179" s="265"/>
      <c r="C179" s="294" t="s">
        <v>209</v>
      </c>
      <c r="D179" s="295"/>
      <c r="E179" s="296"/>
      <c r="F179" s="297"/>
      <c r="G179" s="297"/>
      <c r="H179" s="297"/>
      <c r="I179" s="297"/>
      <c r="J179" s="297"/>
      <c r="K179" s="297"/>
      <c r="L179" s="297"/>
      <c r="M179" s="282"/>
      <c r="N179" s="298" t="s">
        <v>211</v>
      </c>
      <c r="O179" s="268"/>
      <c r="P179" s="57"/>
      <c r="Q179" s="286"/>
      <c r="R179" s="268"/>
      <c r="S179" s="57"/>
      <c r="T179" s="292"/>
      <c r="U179" s="265"/>
      <c r="V179" s="265"/>
    </row>
    <row r="180">
      <c r="A180" s="37"/>
      <c r="B180" s="265"/>
      <c r="C180" s="301" t="s">
        <v>214</v>
      </c>
      <c r="D180" s="372"/>
      <c r="E180" s="303" t="s">
        <v>215</v>
      </c>
      <c r="F180" s="22"/>
      <c r="G180" s="28"/>
      <c r="H180" s="304" t="s">
        <v>216</v>
      </c>
      <c r="I180" s="297"/>
      <c r="J180" s="282"/>
      <c r="K180" s="304"/>
      <c r="L180" s="297"/>
      <c r="M180" s="282"/>
      <c r="N180" s="304"/>
      <c r="O180" s="297"/>
      <c r="P180" s="282"/>
      <c r="Q180" s="304"/>
      <c r="R180" s="297"/>
      <c r="S180" s="282"/>
      <c r="T180" s="265"/>
      <c r="U180" s="265"/>
      <c r="V180" s="265"/>
    </row>
    <row r="181">
      <c r="A181" s="37"/>
      <c r="B181" s="456" t="s">
        <v>276</v>
      </c>
      <c r="C181" s="306" t="s">
        <v>221</v>
      </c>
      <c r="D181" s="306" t="s">
        <v>222</v>
      </c>
      <c r="E181" s="301" t="s">
        <v>223</v>
      </c>
      <c r="F181" s="301" t="s">
        <v>224</v>
      </c>
      <c r="G181" s="301" t="s">
        <v>66</v>
      </c>
      <c r="H181" s="301" t="s">
        <v>223</v>
      </c>
      <c r="I181" s="301" t="s">
        <v>224</v>
      </c>
      <c r="J181" s="301" t="s">
        <v>66</v>
      </c>
      <c r="K181" s="301" t="s">
        <v>64</v>
      </c>
      <c r="L181" s="301" t="s">
        <v>223</v>
      </c>
      <c r="M181" s="444" t="s">
        <v>266</v>
      </c>
      <c r="N181" s="282"/>
      <c r="O181" s="301" t="s">
        <v>271</v>
      </c>
      <c r="P181" s="301"/>
      <c r="Q181" s="301"/>
      <c r="R181" s="301"/>
      <c r="S181" s="466"/>
      <c r="T181" s="307" t="s">
        <v>225</v>
      </c>
      <c r="U181" s="421" t="s">
        <v>263</v>
      </c>
      <c r="V181" s="265"/>
    </row>
    <row r="182">
      <c r="A182" s="37"/>
      <c r="B182" s="308"/>
      <c r="C182" s="561">
        <v>1.0</v>
      </c>
      <c r="D182" s="373"/>
      <c r="E182" s="312"/>
      <c r="F182" s="312"/>
      <c r="G182" s="318"/>
      <c r="H182" s="313"/>
      <c r="I182" s="312"/>
      <c r="J182" s="317"/>
      <c r="K182" s="312"/>
      <c r="L182" s="312"/>
      <c r="M182" s="318"/>
      <c r="O182" s="25"/>
      <c r="P182" s="317"/>
      <c r="Q182" s="222"/>
      <c r="R182" s="316"/>
      <c r="S182" s="316"/>
      <c r="T182" s="467">
        <f t="shared" ref="T182:T188" si="16">(E182*F182)+(H182*I182)</f>
        <v>0</v>
      </c>
      <c r="U182" s="422"/>
      <c r="V182" s="265"/>
    </row>
    <row r="183">
      <c r="A183" s="37"/>
      <c r="B183" s="308"/>
      <c r="C183" s="562">
        <v>2.0</v>
      </c>
      <c r="D183" s="377"/>
      <c r="E183" s="423"/>
      <c r="F183" s="333"/>
      <c r="G183" s="336"/>
      <c r="H183" s="334"/>
      <c r="I183" s="333"/>
      <c r="J183" s="339"/>
      <c r="K183" s="339"/>
      <c r="L183" s="440"/>
      <c r="M183" s="336"/>
      <c r="O183" s="25"/>
      <c r="P183" s="339"/>
      <c r="Q183" s="436"/>
      <c r="R183" s="338"/>
      <c r="S183" s="338"/>
      <c r="T183" s="467">
        <f t="shared" si="16"/>
        <v>0</v>
      </c>
      <c r="U183" s="422"/>
      <c r="V183" s="265"/>
    </row>
    <row r="184">
      <c r="A184" s="37"/>
      <c r="B184" s="308"/>
      <c r="C184" s="561">
        <v>3.0</v>
      </c>
      <c r="D184" s="382"/>
      <c r="E184" s="259"/>
      <c r="F184" s="383"/>
      <c r="G184" s="318"/>
      <c r="H184" s="343"/>
      <c r="I184" s="342"/>
      <c r="J184" s="344"/>
      <c r="K184" s="481"/>
      <c r="L184" s="432"/>
      <c r="M184" s="318"/>
      <c r="O184" s="25"/>
      <c r="P184" s="344"/>
      <c r="Q184" s="209"/>
      <c r="R184" s="346"/>
      <c r="S184" s="346"/>
      <c r="T184" s="467">
        <f t="shared" si="16"/>
        <v>0</v>
      </c>
      <c r="U184" s="422"/>
      <c r="V184" s="265"/>
    </row>
    <row r="185">
      <c r="A185" s="37"/>
      <c r="B185" s="308"/>
      <c r="C185" s="562">
        <v>4.0</v>
      </c>
      <c r="D185" s="377"/>
      <c r="E185" s="423"/>
      <c r="F185" s="379"/>
      <c r="G185" s="336"/>
      <c r="H185" s="334"/>
      <c r="I185" s="333"/>
      <c r="J185" s="339"/>
      <c r="K185" s="339"/>
      <c r="L185" s="440"/>
      <c r="M185" s="336"/>
      <c r="O185" s="25"/>
      <c r="P185" s="339"/>
      <c r="Q185" s="459"/>
      <c r="R185" s="338"/>
      <c r="S185" s="338"/>
      <c r="T185" s="467">
        <f t="shared" si="16"/>
        <v>0</v>
      </c>
      <c r="U185" s="422"/>
      <c r="V185" s="265"/>
    </row>
    <row r="186">
      <c r="A186" s="37"/>
      <c r="B186" s="308"/>
      <c r="C186" s="561">
        <v>5.0</v>
      </c>
      <c r="D186" s="382"/>
      <c r="E186" s="259"/>
      <c r="F186" s="383"/>
      <c r="G186" s="318"/>
      <c r="H186" s="343"/>
      <c r="I186" s="342"/>
      <c r="J186" s="344"/>
      <c r="K186" s="481"/>
      <c r="L186" s="566"/>
      <c r="M186" s="100"/>
      <c r="O186" s="25"/>
      <c r="P186" s="344"/>
      <c r="Q186" s="239"/>
      <c r="R186" s="346"/>
      <c r="S186" s="346"/>
      <c r="T186" s="467">
        <f t="shared" si="16"/>
        <v>0</v>
      </c>
      <c r="U186" s="422"/>
      <c r="V186" s="265"/>
    </row>
    <row r="187">
      <c r="A187" s="37"/>
      <c r="B187" s="308"/>
      <c r="C187" s="562">
        <v>6.0</v>
      </c>
      <c r="D187" s="331"/>
      <c r="E187" s="423"/>
      <c r="F187" s="379"/>
      <c r="G187" s="336"/>
      <c r="H187" s="334"/>
      <c r="I187" s="333"/>
      <c r="J187" s="339"/>
      <c r="K187" s="339"/>
      <c r="L187" s="440"/>
      <c r="M187" s="336"/>
      <c r="O187" s="25"/>
      <c r="P187" s="339"/>
      <c r="Q187" s="424"/>
      <c r="R187" s="338"/>
      <c r="S187" s="338"/>
      <c r="T187" s="467">
        <f t="shared" si="16"/>
        <v>0</v>
      </c>
      <c r="U187" s="422"/>
      <c r="V187" s="265"/>
    </row>
    <row r="188">
      <c r="A188" s="37"/>
      <c r="B188" s="361"/>
      <c r="C188" s="309">
        <v>7.0</v>
      </c>
      <c r="D188" s="382"/>
      <c r="E188" s="259"/>
      <c r="F188" s="383"/>
      <c r="G188" s="318"/>
      <c r="H188" s="343"/>
      <c r="I188" s="342"/>
      <c r="J188" s="344"/>
      <c r="K188" s="481"/>
      <c r="L188" s="566"/>
      <c r="M188" s="100"/>
      <c r="O188" s="25"/>
      <c r="P188" s="472"/>
      <c r="Q188" s="239"/>
      <c r="R188" s="346"/>
      <c r="S188" s="261"/>
      <c r="T188" s="467">
        <f t="shared" si="16"/>
        <v>0</v>
      </c>
      <c r="U188" s="422"/>
      <c r="V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37"/>
      <c r="B190" s="265"/>
      <c r="C190" s="294" t="s">
        <v>209</v>
      </c>
      <c r="D190" s="295"/>
      <c r="E190" s="296"/>
      <c r="F190" s="297"/>
      <c r="G190" s="297"/>
      <c r="H190" s="297"/>
      <c r="I190" s="297"/>
      <c r="J190" s="297"/>
      <c r="K190" s="297"/>
      <c r="L190" s="297"/>
      <c r="M190" s="282"/>
      <c r="N190" s="298" t="s">
        <v>211</v>
      </c>
      <c r="O190" s="268"/>
      <c r="P190" s="57"/>
      <c r="Q190" s="286"/>
      <c r="R190" s="268"/>
      <c r="S190" s="57"/>
      <c r="T190" s="292"/>
      <c r="U190" s="265"/>
      <c r="V190" s="265"/>
    </row>
    <row r="191">
      <c r="A191" s="37"/>
      <c r="B191" s="265"/>
      <c r="C191" s="301" t="s">
        <v>214</v>
      </c>
      <c r="D191" s="372"/>
      <c r="E191" s="303" t="s">
        <v>215</v>
      </c>
      <c r="F191" s="22"/>
      <c r="G191" s="28"/>
      <c r="H191" s="304" t="s">
        <v>216</v>
      </c>
      <c r="I191" s="297"/>
      <c r="J191" s="282"/>
      <c r="K191" s="304"/>
      <c r="L191" s="297"/>
      <c r="M191" s="282"/>
      <c r="N191" s="304"/>
      <c r="O191" s="297"/>
      <c r="P191" s="282"/>
      <c r="Q191" s="304"/>
      <c r="R191" s="297"/>
      <c r="S191" s="282"/>
      <c r="T191" s="265"/>
      <c r="U191" s="265"/>
      <c r="V191" s="265"/>
    </row>
    <row r="192">
      <c r="A192" s="37"/>
      <c r="B192" s="456" t="s">
        <v>278</v>
      </c>
      <c r="C192" s="306" t="s">
        <v>221</v>
      </c>
      <c r="D192" s="306" t="s">
        <v>222</v>
      </c>
      <c r="E192" s="301" t="s">
        <v>223</v>
      </c>
      <c r="F192" s="301" t="s">
        <v>224</v>
      </c>
      <c r="G192" s="301" t="s">
        <v>66</v>
      </c>
      <c r="H192" s="301" t="s">
        <v>223</v>
      </c>
      <c r="I192" s="301" t="s">
        <v>224</v>
      </c>
      <c r="J192" s="301" t="s">
        <v>66</v>
      </c>
      <c r="K192" s="301" t="s">
        <v>64</v>
      </c>
      <c r="L192" s="301" t="s">
        <v>223</v>
      </c>
      <c r="M192" s="444" t="s">
        <v>266</v>
      </c>
      <c r="N192" s="282"/>
      <c r="O192" s="301" t="s">
        <v>271</v>
      </c>
      <c r="P192" s="301"/>
      <c r="Q192" s="301"/>
      <c r="R192" s="301"/>
      <c r="S192" s="301"/>
      <c r="T192" s="307" t="s">
        <v>225</v>
      </c>
      <c r="U192" s="421" t="s">
        <v>263</v>
      </c>
      <c r="V192" s="265"/>
    </row>
    <row r="193">
      <c r="A193" s="37"/>
      <c r="B193" s="308"/>
      <c r="C193" s="561">
        <v>1.0</v>
      </c>
      <c r="D193" s="373"/>
      <c r="E193" s="374"/>
      <c r="F193" s="375"/>
      <c r="G193" s="384"/>
      <c r="H193" s="376"/>
      <c r="I193" s="375"/>
      <c r="J193" s="317"/>
      <c r="K193" s="317"/>
      <c r="L193" s="209"/>
      <c r="M193" s="100"/>
      <c r="O193" s="25"/>
      <c r="P193" s="472"/>
      <c r="Q193" s="222"/>
      <c r="R193" s="316"/>
      <c r="S193" s="316"/>
      <c r="T193" s="319">
        <f t="shared" ref="T193:T199" si="17">(E193*F193)+(H193*I193)</f>
        <v>0</v>
      </c>
      <c r="U193" s="422"/>
      <c r="V193" s="265"/>
    </row>
    <row r="194">
      <c r="A194" s="37"/>
      <c r="B194" s="308"/>
      <c r="C194" s="562">
        <v>2.0</v>
      </c>
      <c r="D194" s="377"/>
      <c r="E194" s="378"/>
      <c r="F194" s="379"/>
      <c r="G194" s="380"/>
      <c r="H194" s="381"/>
      <c r="I194" s="379"/>
      <c r="J194" s="339"/>
      <c r="K194" s="335"/>
      <c r="L194" s="440"/>
      <c r="M194" s="336"/>
      <c r="O194" s="25"/>
      <c r="P194" s="339"/>
      <c r="Q194" s="436"/>
      <c r="R194" s="338"/>
      <c r="S194" s="338"/>
      <c r="T194" s="319">
        <f t="shared" si="17"/>
        <v>0</v>
      </c>
      <c r="U194" s="422"/>
      <c r="V194" s="265"/>
    </row>
    <row r="195">
      <c r="A195" s="37"/>
      <c r="B195" s="308"/>
      <c r="C195" s="561">
        <v>3.0</v>
      </c>
      <c r="D195" s="382"/>
      <c r="E195" s="374"/>
      <c r="F195" s="383"/>
      <c r="G195" s="384"/>
      <c r="H195" s="385"/>
      <c r="I195" s="383"/>
      <c r="J195" s="344"/>
      <c r="K195" s="344"/>
      <c r="L195" s="437"/>
      <c r="M195" s="100"/>
      <c r="O195" s="25"/>
      <c r="P195" s="473"/>
      <c r="Q195" s="209"/>
      <c r="R195" s="346"/>
      <c r="S195" s="346"/>
      <c r="T195" s="319">
        <f t="shared" si="17"/>
        <v>0</v>
      </c>
      <c r="U195" s="422"/>
      <c r="V195" s="265"/>
    </row>
    <row r="196">
      <c r="A196" s="37"/>
      <c r="B196" s="308"/>
      <c r="C196" s="562">
        <v>4.0</v>
      </c>
      <c r="D196" s="377"/>
      <c r="E196" s="378"/>
      <c r="F196" s="379"/>
      <c r="G196" s="380"/>
      <c r="H196" s="439"/>
      <c r="I196" s="379"/>
      <c r="J196" s="339"/>
      <c r="K196" s="339"/>
      <c r="L196" s="440"/>
      <c r="M196" s="332"/>
      <c r="N196" s="332"/>
      <c r="O196" s="335"/>
      <c r="P196" s="339"/>
      <c r="Q196" s="459"/>
      <c r="R196" s="338"/>
      <c r="S196" s="338"/>
      <c r="T196" s="319">
        <f t="shared" si="17"/>
        <v>0</v>
      </c>
      <c r="U196" s="422"/>
      <c r="V196" s="265"/>
    </row>
    <row r="197">
      <c r="A197" s="37"/>
      <c r="B197" s="308"/>
      <c r="C197" s="561">
        <v>5.0</v>
      </c>
      <c r="D197" s="382"/>
      <c r="E197" s="374"/>
      <c r="F197" s="383"/>
      <c r="G197" s="384"/>
      <c r="H197" s="385"/>
      <c r="I197" s="383"/>
      <c r="J197" s="344"/>
      <c r="K197" s="344"/>
      <c r="L197" s="432"/>
      <c r="M197" s="218"/>
      <c r="O197" s="25"/>
      <c r="P197" s="473"/>
      <c r="Q197" s="239"/>
      <c r="R197" s="346"/>
      <c r="S197" s="346"/>
      <c r="T197" s="319">
        <f t="shared" si="17"/>
        <v>0</v>
      </c>
      <c r="U197" s="422"/>
      <c r="V197" s="265"/>
    </row>
    <row r="198">
      <c r="A198" s="37"/>
      <c r="B198" s="308"/>
      <c r="C198" s="562">
        <v>6.0</v>
      </c>
      <c r="D198" s="331"/>
      <c r="E198" s="378"/>
      <c r="F198" s="379"/>
      <c r="G198" s="380"/>
      <c r="H198" s="381"/>
      <c r="I198" s="379"/>
      <c r="J198" s="339"/>
      <c r="K198" s="339"/>
      <c r="L198" s="474"/>
      <c r="M198" s="337"/>
      <c r="O198" s="25"/>
      <c r="P198" s="338"/>
      <c r="Q198" s="424"/>
      <c r="R198" s="338"/>
      <c r="S198" s="338"/>
      <c r="T198" s="319">
        <f t="shared" si="17"/>
        <v>0</v>
      </c>
      <c r="U198" s="422"/>
      <c r="V198" s="265"/>
    </row>
    <row r="199">
      <c r="A199" s="37"/>
      <c r="B199" s="361"/>
      <c r="C199" s="561">
        <v>7.0</v>
      </c>
      <c r="D199" s="506"/>
      <c r="E199" s="508"/>
      <c r="F199" s="508"/>
      <c r="G199" s="509"/>
      <c r="H199" s="508"/>
      <c r="I199" s="508"/>
      <c r="J199" s="509"/>
      <c r="K199" s="508"/>
      <c r="L199" s="508"/>
      <c r="M199" s="511"/>
      <c r="O199" s="25"/>
      <c r="P199" s="346"/>
      <c r="Q199" s="342"/>
      <c r="R199" s="342"/>
      <c r="S199" s="342"/>
      <c r="T199" s="319">
        <f t="shared" si="17"/>
        <v>0</v>
      </c>
      <c r="U199" s="422"/>
      <c r="V199" s="265"/>
    </row>
    <row r="200">
      <c r="A200" s="37"/>
      <c r="B200" s="569">
        <v>1.0</v>
      </c>
      <c r="C200" s="265"/>
      <c r="D200" s="265"/>
      <c r="E200" s="265"/>
      <c r="F200" s="265"/>
      <c r="G200" s="265"/>
      <c r="H200" s="265"/>
      <c r="I200" s="265"/>
      <c r="J200" s="265"/>
      <c r="K200" s="292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</row>
    <row r="201">
      <c r="A201" s="37"/>
      <c r="B201" s="265"/>
      <c r="C201" s="294" t="s">
        <v>209</v>
      </c>
      <c r="D201" s="295"/>
      <c r="E201" s="296"/>
      <c r="F201" s="297"/>
      <c r="G201" s="297"/>
      <c r="H201" s="297"/>
      <c r="I201" s="297"/>
      <c r="J201" s="297"/>
      <c r="K201" s="297"/>
      <c r="L201" s="297"/>
      <c r="M201" s="282"/>
      <c r="N201" s="298" t="s">
        <v>211</v>
      </c>
      <c r="O201" s="268"/>
      <c r="P201" s="57"/>
      <c r="Q201" s="286"/>
      <c r="R201" s="268"/>
      <c r="S201" s="57"/>
      <c r="T201" s="292"/>
      <c r="U201" s="265"/>
      <c r="V201" s="265"/>
    </row>
    <row r="202">
      <c r="A202" s="37"/>
      <c r="B202" s="265"/>
      <c r="C202" s="301" t="s">
        <v>214</v>
      </c>
      <c r="D202" s="372"/>
      <c r="E202" s="303" t="s">
        <v>215</v>
      </c>
      <c r="F202" s="22"/>
      <c r="G202" s="28"/>
      <c r="H202" s="304" t="s">
        <v>216</v>
      </c>
      <c r="I202" s="297"/>
      <c r="J202" s="282"/>
      <c r="K202" s="304"/>
      <c r="L202" s="297"/>
      <c r="M202" s="282"/>
      <c r="N202" s="304"/>
      <c r="O202" s="297"/>
      <c r="P202" s="282"/>
      <c r="Q202" s="304"/>
      <c r="R202" s="297"/>
      <c r="S202" s="282"/>
      <c r="T202" s="265"/>
      <c r="U202" s="265"/>
      <c r="V202" s="265"/>
    </row>
    <row r="203">
      <c r="A203" s="37"/>
      <c r="B203" s="456" t="s">
        <v>279</v>
      </c>
      <c r="C203" s="306" t="s">
        <v>221</v>
      </c>
      <c r="D203" s="306" t="s">
        <v>222</v>
      </c>
      <c r="E203" s="301" t="s">
        <v>223</v>
      </c>
      <c r="F203" s="301" t="s">
        <v>224</v>
      </c>
      <c r="G203" s="301" t="s">
        <v>66</v>
      </c>
      <c r="H203" s="301" t="s">
        <v>223</v>
      </c>
      <c r="I203" s="301" t="s">
        <v>224</v>
      </c>
      <c r="J203" s="301" t="s">
        <v>66</v>
      </c>
      <c r="K203" s="301" t="s">
        <v>268</v>
      </c>
      <c r="L203" s="301" t="s">
        <v>269</v>
      </c>
      <c r="M203" s="468" t="s">
        <v>270</v>
      </c>
      <c r="N203" s="282"/>
      <c r="O203" s="301" t="s">
        <v>271</v>
      </c>
      <c r="P203" s="301"/>
      <c r="Q203" s="468"/>
      <c r="R203" s="297"/>
      <c r="S203" s="282"/>
      <c r="T203" s="307" t="s">
        <v>225</v>
      </c>
      <c r="U203" s="421" t="s">
        <v>263</v>
      </c>
      <c r="V203" s="265"/>
    </row>
    <row r="204">
      <c r="A204" s="37"/>
      <c r="B204" s="308"/>
      <c r="C204" s="309">
        <v>1.0</v>
      </c>
      <c r="D204" s="373"/>
      <c r="E204" s="259"/>
      <c r="F204" s="375"/>
      <c r="G204" s="384"/>
      <c r="H204" s="376"/>
      <c r="I204" s="375"/>
      <c r="J204" s="315"/>
      <c r="K204" s="316"/>
      <c r="L204" s="236"/>
      <c r="M204" s="345"/>
      <c r="N204" s="25"/>
      <c r="O204" s="316"/>
      <c r="P204" s="316"/>
      <c r="Q204" s="485"/>
      <c r="R204" s="491"/>
      <c r="S204" s="472"/>
      <c r="T204" s="467">
        <f t="shared" ref="T204:T210" si="18">(E204*F204)+(H204*I204)</f>
        <v>0</v>
      </c>
      <c r="U204" s="422"/>
      <c r="V204" s="265"/>
    </row>
    <row r="205">
      <c r="A205" s="37"/>
      <c r="B205" s="308"/>
      <c r="C205" s="330">
        <v>2.0</v>
      </c>
      <c r="D205" s="377"/>
      <c r="E205" s="423"/>
      <c r="F205" s="379"/>
      <c r="G205" s="380"/>
      <c r="H205" s="381"/>
      <c r="I205" s="379"/>
      <c r="J205" s="337"/>
      <c r="K205" s="338"/>
      <c r="L205" s="436"/>
      <c r="M205" s="337"/>
      <c r="N205" s="25"/>
      <c r="O205" s="338"/>
      <c r="P205" s="338"/>
      <c r="Q205" s="336"/>
      <c r="R205" s="339"/>
      <c r="S205" s="339"/>
      <c r="T205" s="467">
        <f t="shared" si="18"/>
        <v>0</v>
      </c>
      <c r="U205" s="422"/>
      <c r="V205" s="265"/>
    </row>
    <row r="206">
      <c r="A206" s="37"/>
      <c r="B206" s="308"/>
      <c r="C206" s="309">
        <v>3.0</v>
      </c>
      <c r="D206" s="382"/>
      <c r="E206" s="259"/>
      <c r="F206" s="383"/>
      <c r="H206" s="385"/>
      <c r="I206" s="383"/>
      <c r="J206" s="345"/>
      <c r="K206" s="346"/>
      <c r="L206" s="236"/>
      <c r="M206" s="345"/>
      <c r="N206" s="25"/>
      <c r="O206" s="346"/>
      <c r="P206" s="346"/>
      <c r="Q206" s="485"/>
      <c r="R206" s="491"/>
      <c r="S206" s="473"/>
      <c r="T206" s="467">
        <f t="shared" si="18"/>
        <v>0</v>
      </c>
      <c r="U206" s="422"/>
      <c r="V206" s="265"/>
    </row>
    <row r="207">
      <c r="A207" s="37"/>
      <c r="B207" s="308"/>
      <c r="C207" s="330">
        <v>4.0</v>
      </c>
      <c r="D207" s="377"/>
      <c r="E207" s="423"/>
      <c r="F207" s="379"/>
      <c r="G207" s="380"/>
      <c r="H207" s="381"/>
      <c r="I207" s="379"/>
      <c r="J207" s="337"/>
      <c r="K207" s="338"/>
      <c r="L207" s="459"/>
      <c r="M207" s="337"/>
      <c r="N207" s="25"/>
      <c r="O207" s="338"/>
      <c r="P207" s="338"/>
      <c r="Q207" s="332"/>
      <c r="R207" s="335"/>
      <c r="S207" s="339"/>
      <c r="T207" s="467">
        <f t="shared" si="18"/>
        <v>0</v>
      </c>
      <c r="U207" s="422"/>
      <c r="V207" s="265"/>
    </row>
    <row r="208">
      <c r="A208" s="37"/>
      <c r="B208" s="308"/>
      <c r="C208" s="309">
        <v>5.0</v>
      </c>
      <c r="D208" s="382"/>
      <c r="E208" s="244"/>
      <c r="F208" s="383"/>
      <c r="G208" s="384"/>
      <c r="H208" s="385"/>
      <c r="I208" s="383"/>
      <c r="J208" s="345"/>
      <c r="K208" s="346"/>
      <c r="L208" s="239"/>
      <c r="M208" s="345"/>
      <c r="N208" s="25"/>
      <c r="O208" s="346"/>
      <c r="P208" s="346"/>
      <c r="Q208" s="228"/>
      <c r="R208" s="418"/>
      <c r="S208" s="473"/>
      <c r="T208" s="467">
        <f t="shared" si="18"/>
        <v>0</v>
      </c>
      <c r="U208" s="422"/>
      <c r="V208" s="265"/>
    </row>
    <row r="209">
      <c r="A209" s="37"/>
      <c r="B209" s="308"/>
      <c r="C209" s="330">
        <v>6.0</v>
      </c>
      <c r="D209" s="331"/>
      <c r="E209" s="423"/>
      <c r="F209" s="379"/>
      <c r="G209" s="380"/>
      <c r="H209" s="381"/>
      <c r="I209" s="379"/>
      <c r="J209" s="337"/>
      <c r="K209" s="338"/>
      <c r="L209" s="424"/>
      <c r="M209" s="337"/>
      <c r="N209" s="25"/>
      <c r="O209" s="338"/>
      <c r="P209" s="338"/>
      <c r="Q209" s="336"/>
      <c r="R209" s="339"/>
      <c r="S209" s="338"/>
      <c r="T209" s="467">
        <f t="shared" si="18"/>
        <v>0</v>
      </c>
      <c r="U209" s="422"/>
      <c r="V209" s="265"/>
    </row>
    <row r="210">
      <c r="A210" s="37"/>
      <c r="B210" s="361"/>
      <c r="C210" s="309">
        <v>7.0</v>
      </c>
      <c r="D210" s="382"/>
      <c r="E210" s="259"/>
      <c r="F210" s="342"/>
      <c r="G210" s="318"/>
      <c r="H210" s="343"/>
      <c r="I210" s="342"/>
      <c r="J210" s="345"/>
      <c r="K210" s="346"/>
      <c r="L210" s="236"/>
      <c r="M210" s="100"/>
      <c r="O210" s="261"/>
      <c r="P210" s="342"/>
      <c r="Q210" s="485"/>
      <c r="S210" s="25"/>
      <c r="T210" s="467">
        <f t="shared" si="18"/>
        <v>0</v>
      </c>
      <c r="U210" s="422"/>
      <c r="V210" s="265"/>
    </row>
    <row r="211">
      <c r="A211" s="37"/>
      <c r="B211" s="569">
        <v>1.0</v>
      </c>
      <c r="C211" s="265"/>
      <c r="D211" s="265"/>
      <c r="E211" s="265"/>
      <c r="F211" s="265"/>
      <c r="G211" s="265"/>
      <c r="H211" s="265"/>
      <c r="I211" s="265"/>
      <c r="J211" s="265"/>
      <c r="K211" s="292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</row>
  </sheetData>
  <mergeCells count="364">
    <mergeCell ref="C10:D10"/>
    <mergeCell ref="E10:F10"/>
    <mergeCell ref="G10:H10"/>
    <mergeCell ref="I10:J10"/>
    <mergeCell ref="K10:L10"/>
    <mergeCell ref="M10:N10"/>
    <mergeCell ref="O10:P10"/>
    <mergeCell ref="Q10:R10"/>
    <mergeCell ref="C11:D11"/>
    <mergeCell ref="E11:F11"/>
    <mergeCell ref="G11:H11"/>
    <mergeCell ref="I11:J11"/>
    <mergeCell ref="M11:N11"/>
    <mergeCell ref="O11:P11"/>
    <mergeCell ref="Q11:R11"/>
    <mergeCell ref="K11:L11"/>
    <mergeCell ref="E14:M14"/>
    <mergeCell ref="N14:P14"/>
    <mergeCell ref="Q14:S14"/>
    <mergeCell ref="C14:D14"/>
    <mergeCell ref="E15:G15"/>
    <mergeCell ref="H15:J15"/>
    <mergeCell ref="K15:M15"/>
    <mergeCell ref="N15:P15"/>
    <mergeCell ref="Q15:S15"/>
    <mergeCell ref="Q16:S16"/>
    <mergeCell ref="M23:O23"/>
    <mergeCell ref="E25:M25"/>
    <mergeCell ref="E26:G26"/>
    <mergeCell ref="H26:J26"/>
    <mergeCell ref="K26:M26"/>
    <mergeCell ref="N26:P26"/>
    <mergeCell ref="M16:O16"/>
    <mergeCell ref="M17:O17"/>
    <mergeCell ref="M18:O18"/>
    <mergeCell ref="M19:O19"/>
    <mergeCell ref="M20:O20"/>
    <mergeCell ref="M21:O21"/>
    <mergeCell ref="M22:O22"/>
    <mergeCell ref="A1:B7"/>
    <mergeCell ref="C3:D4"/>
    <mergeCell ref="E3:F4"/>
    <mergeCell ref="I3:L4"/>
    <mergeCell ref="M3:N4"/>
    <mergeCell ref="G6:H6"/>
    <mergeCell ref="M6:N6"/>
    <mergeCell ref="E6:F6"/>
    <mergeCell ref="C7:D7"/>
    <mergeCell ref="E7:F7"/>
    <mergeCell ref="C8:D8"/>
    <mergeCell ref="E8:F8"/>
    <mergeCell ref="C9:D9"/>
    <mergeCell ref="E9:F9"/>
    <mergeCell ref="M43:O43"/>
    <mergeCell ref="M44:O44"/>
    <mergeCell ref="K37:M37"/>
    <mergeCell ref="N37:P37"/>
    <mergeCell ref="M38:O38"/>
    <mergeCell ref="M39:O39"/>
    <mergeCell ref="M40:O40"/>
    <mergeCell ref="M41:O41"/>
    <mergeCell ref="M42:O42"/>
    <mergeCell ref="H59:J59"/>
    <mergeCell ref="K59:M59"/>
    <mergeCell ref="N59:P59"/>
    <mergeCell ref="Q59:S59"/>
    <mergeCell ref="M54:O54"/>
    <mergeCell ref="M55:O55"/>
    <mergeCell ref="M56:O56"/>
    <mergeCell ref="E58:M58"/>
    <mergeCell ref="N58:P58"/>
    <mergeCell ref="Q58:S58"/>
    <mergeCell ref="E59:G59"/>
    <mergeCell ref="M67:N67"/>
    <mergeCell ref="E69:M69"/>
    <mergeCell ref="M60:N60"/>
    <mergeCell ref="M61:N61"/>
    <mergeCell ref="M62:N62"/>
    <mergeCell ref="M63:N63"/>
    <mergeCell ref="M64:N64"/>
    <mergeCell ref="M65:N65"/>
    <mergeCell ref="M66:N66"/>
    <mergeCell ref="M144:O144"/>
    <mergeCell ref="E146:M146"/>
    <mergeCell ref="N146:P146"/>
    <mergeCell ref="Q146:S146"/>
    <mergeCell ref="E147:G147"/>
    <mergeCell ref="H147:J147"/>
    <mergeCell ref="K147:M147"/>
    <mergeCell ref="N147:P147"/>
    <mergeCell ref="Q147:S147"/>
    <mergeCell ref="M148:N148"/>
    <mergeCell ref="Q148:S148"/>
    <mergeCell ref="M150:N150"/>
    <mergeCell ref="M154:N154"/>
    <mergeCell ref="M155:N155"/>
    <mergeCell ref="M106:O106"/>
    <mergeCell ref="M107:O107"/>
    <mergeCell ref="M108:O108"/>
    <mergeCell ref="M109:O109"/>
    <mergeCell ref="M110:O110"/>
    <mergeCell ref="M111:O111"/>
    <mergeCell ref="E113:M113"/>
    <mergeCell ref="E114:G114"/>
    <mergeCell ref="H114:J114"/>
    <mergeCell ref="K114:M114"/>
    <mergeCell ref="N114:P114"/>
    <mergeCell ref="M115:N115"/>
    <mergeCell ref="M116:O116"/>
    <mergeCell ref="M117:O117"/>
    <mergeCell ref="M118:O118"/>
    <mergeCell ref="M120:O120"/>
    <mergeCell ref="M121:O121"/>
    <mergeCell ref="M122:O122"/>
    <mergeCell ref="E124:M124"/>
    <mergeCell ref="N124:P124"/>
    <mergeCell ref="Q124:S124"/>
    <mergeCell ref="E125:G125"/>
    <mergeCell ref="H125:J125"/>
    <mergeCell ref="K125:M125"/>
    <mergeCell ref="N125:P125"/>
    <mergeCell ref="Q125:S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E135:M135"/>
    <mergeCell ref="E136:G136"/>
    <mergeCell ref="H136:J136"/>
    <mergeCell ref="K136:M136"/>
    <mergeCell ref="N136:P136"/>
    <mergeCell ref="Q136:S136"/>
    <mergeCell ref="M137:O137"/>
    <mergeCell ref="Q137:S137"/>
    <mergeCell ref="E157:M157"/>
    <mergeCell ref="N157:P157"/>
    <mergeCell ref="Q157:S157"/>
    <mergeCell ref="E158:G158"/>
    <mergeCell ref="H158:J158"/>
    <mergeCell ref="K158:M158"/>
    <mergeCell ref="Q158:S158"/>
    <mergeCell ref="N190:P190"/>
    <mergeCell ref="Q190:S190"/>
    <mergeCell ref="E191:G191"/>
    <mergeCell ref="H191:J191"/>
    <mergeCell ref="K191:M191"/>
    <mergeCell ref="N191:P191"/>
    <mergeCell ref="Q191:S191"/>
    <mergeCell ref="M192:N192"/>
    <mergeCell ref="M193:O193"/>
    <mergeCell ref="N158:P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E168:M168"/>
    <mergeCell ref="N168:P168"/>
    <mergeCell ref="Q168:S168"/>
    <mergeCell ref="E169:G169"/>
    <mergeCell ref="H169:J169"/>
    <mergeCell ref="Q169:S169"/>
    <mergeCell ref="N179:P179"/>
    <mergeCell ref="Q179:S179"/>
    <mergeCell ref="K169:M169"/>
    <mergeCell ref="N169:P169"/>
    <mergeCell ref="M170:N170"/>
    <mergeCell ref="M172:N172"/>
    <mergeCell ref="M176:N176"/>
    <mergeCell ref="M177:N177"/>
    <mergeCell ref="E179:M179"/>
    <mergeCell ref="E180:G180"/>
    <mergeCell ref="H180:J180"/>
    <mergeCell ref="K180:M180"/>
    <mergeCell ref="N180:P180"/>
    <mergeCell ref="Q180:S180"/>
    <mergeCell ref="M181:N181"/>
    <mergeCell ref="M182:O182"/>
    <mergeCell ref="M183:O183"/>
    <mergeCell ref="M184:O184"/>
    <mergeCell ref="M185:O185"/>
    <mergeCell ref="M186:O186"/>
    <mergeCell ref="M187:O187"/>
    <mergeCell ref="M188:O188"/>
    <mergeCell ref="E190:M190"/>
    <mergeCell ref="E201:M201"/>
    <mergeCell ref="E202:G202"/>
    <mergeCell ref="H202:J202"/>
    <mergeCell ref="K202:M202"/>
    <mergeCell ref="N202:P202"/>
    <mergeCell ref="Q202:S202"/>
    <mergeCell ref="M33:N33"/>
    <mergeCell ref="E36:M36"/>
    <mergeCell ref="N36:P36"/>
    <mergeCell ref="Q36:S36"/>
    <mergeCell ref="E37:G37"/>
    <mergeCell ref="H37:J37"/>
    <mergeCell ref="Q37:S37"/>
    <mergeCell ref="M34:N34"/>
    <mergeCell ref="M45:O45"/>
    <mergeCell ref="E47:M47"/>
    <mergeCell ref="N47:P47"/>
    <mergeCell ref="Q47:S47"/>
    <mergeCell ref="E48:G48"/>
    <mergeCell ref="H48:J48"/>
    <mergeCell ref="Q48:S48"/>
    <mergeCell ref="B27:B34"/>
    <mergeCell ref="C36:D36"/>
    <mergeCell ref="B38:B45"/>
    <mergeCell ref="C47:D47"/>
    <mergeCell ref="B49:B56"/>
    <mergeCell ref="C58:D58"/>
    <mergeCell ref="C69:D69"/>
    <mergeCell ref="B137:B144"/>
    <mergeCell ref="B148:B155"/>
    <mergeCell ref="B159:B165"/>
    <mergeCell ref="B170:B176"/>
    <mergeCell ref="B181:B188"/>
    <mergeCell ref="B192:B199"/>
    <mergeCell ref="B203:B210"/>
    <mergeCell ref="B60:B67"/>
    <mergeCell ref="B71:B78"/>
    <mergeCell ref="B82:B89"/>
    <mergeCell ref="B93:B99"/>
    <mergeCell ref="B104:B110"/>
    <mergeCell ref="B115:B122"/>
    <mergeCell ref="B126:B133"/>
    <mergeCell ref="C157:D157"/>
    <mergeCell ref="C168:D168"/>
    <mergeCell ref="C179:D179"/>
    <mergeCell ref="C190:D190"/>
    <mergeCell ref="C201:D201"/>
    <mergeCell ref="C80:D80"/>
    <mergeCell ref="C91:D91"/>
    <mergeCell ref="C102:D102"/>
    <mergeCell ref="C113:D113"/>
    <mergeCell ref="C124:D124"/>
    <mergeCell ref="C135:D135"/>
    <mergeCell ref="C146:D146"/>
    <mergeCell ref="I6:J6"/>
    <mergeCell ref="K6:L6"/>
    <mergeCell ref="O6:P6"/>
    <mergeCell ref="Q6:R6"/>
    <mergeCell ref="G7:H7"/>
    <mergeCell ref="I7:J7"/>
    <mergeCell ref="G8:H8"/>
    <mergeCell ref="I8:J8"/>
    <mergeCell ref="K8:L8"/>
    <mergeCell ref="M8:N8"/>
    <mergeCell ref="O8:P8"/>
    <mergeCell ref="Q8:R8"/>
    <mergeCell ref="K7:L7"/>
    <mergeCell ref="M7:N7"/>
    <mergeCell ref="O7:P7"/>
    <mergeCell ref="Q7:R7"/>
    <mergeCell ref="G9:H9"/>
    <mergeCell ref="I9:J9"/>
    <mergeCell ref="K9:L9"/>
    <mergeCell ref="M9:N9"/>
    <mergeCell ref="O9:P9"/>
    <mergeCell ref="Q9:R9"/>
    <mergeCell ref="B16:B23"/>
    <mergeCell ref="C25:D25"/>
    <mergeCell ref="N25:P25"/>
    <mergeCell ref="Q25:S25"/>
    <mergeCell ref="Q26:S26"/>
    <mergeCell ref="M27:N27"/>
    <mergeCell ref="M29:N29"/>
    <mergeCell ref="K48:M48"/>
    <mergeCell ref="N48:P48"/>
    <mergeCell ref="M49:N49"/>
    <mergeCell ref="M50:O50"/>
    <mergeCell ref="M51:O51"/>
    <mergeCell ref="M52:O52"/>
    <mergeCell ref="M53:O53"/>
    <mergeCell ref="N69:P69"/>
    <mergeCell ref="Q69:S69"/>
    <mergeCell ref="E70:G70"/>
    <mergeCell ref="H70:J70"/>
    <mergeCell ref="K70:M70"/>
    <mergeCell ref="N70:P70"/>
    <mergeCell ref="Q70:S70"/>
    <mergeCell ref="N92:P92"/>
    <mergeCell ref="Q92:S92"/>
    <mergeCell ref="M93:N93"/>
    <mergeCell ref="M95:N95"/>
    <mergeCell ref="M99:N99"/>
    <mergeCell ref="M100:N100"/>
    <mergeCell ref="E102:M102"/>
    <mergeCell ref="E103:G103"/>
    <mergeCell ref="H103:J103"/>
    <mergeCell ref="K103:M103"/>
    <mergeCell ref="N103:P103"/>
    <mergeCell ref="Q103:S103"/>
    <mergeCell ref="M104:N104"/>
    <mergeCell ref="M105:O105"/>
    <mergeCell ref="Q81:S81"/>
    <mergeCell ref="Q82:S82"/>
    <mergeCell ref="E80:M80"/>
    <mergeCell ref="N80:P80"/>
    <mergeCell ref="Q80:S80"/>
    <mergeCell ref="E81:G81"/>
    <mergeCell ref="H81:J81"/>
    <mergeCell ref="K81:M81"/>
    <mergeCell ref="N81:P81"/>
    <mergeCell ref="M71:N71"/>
    <mergeCell ref="M72:O72"/>
    <mergeCell ref="M73:O73"/>
    <mergeCell ref="M74:O74"/>
    <mergeCell ref="M76:O76"/>
    <mergeCell ref="M77:O77"/>
    <mergeCell ref="M78:O78"/>
    <mergeCell ref="M82:O82"/>
    <mergeCell ref="M83:O83"/>
    <mergeCell ref="M84:O84"/>
    <mergeCell ref="M85:O85"/>
    <mergeCell ref="M86:O86"/>
    <mergeCell ref="M87:O87"/>
    <mergeCell ref="M88:O88"/>
    <mergeCell ref="M89:O89"/>
    <mergeCell ref="E91:M91"/>
    <mergeCell ref="N91:P91"/>
    <mergeCell ref="Q91:S91"/>
    <mergeCell ref="E92:G92"/>
    <mergeCell ref="H92:J92"/>
    <mergeCell ref="K92:M92"/>
    <mergeCell ref="N102:P102"/>
    <mergeCell ref="Q102:S102"/>
    <mergeCell ref="N113:P113"/>
    <mergeCell ref="Q113:S113"/>
    <mergeCell ref="Q114:S114"/>
    <mergeCell ref="N135:P135"/>
    <mergeCell ref="Q135:S135"/>
    <mergeCell ref="M138:O138"/>
    <mergeCell ref="M139:O139"/>
    <mergeCell ref="M140:O140"/>
    <mergeCell ref="M141:O141"/>
    <mergeCell ref="M142:O142"/>
    <mergeCell ref="M143:O143"/>
    <mergeCell ref="Q144:S144"/>
    <mergeCell ref="M194:O194"/>
    <mergeCell ref="M195:O195"/>
    <mergeCell ref="M197:O197"/>
    <mergeCell ref="M198:O198"/>
    <mergeCell ref="M199:O199"/>
    <mergeCell ref="N201:P201"/>
    <mergeCell ref="Q201:S201"/>
    <mergeCell ref="M209:N209"/>
    <mergeCell ref="M210:N210"/>
    <mergeCell ref="Q210:S210"/>
    <mergeCell ref="M203:N203"/>
    <mergeCell ref="Q203:S203"/>
    <mergeCell ref="M204:N204"/>
    <mergeCell ref="M205:N205"/>
    <mergeCell ref="M206:N206"/>
    <mergeCell ref="M207:N207"/>
    <mergeCell ref="M208:N208"/>
  </mergeCells>
  <dataValidations>
    <dataValidation type="list" allowBlank="1" showErrorMessage="1" sqref="E11 G11 I11 K11 M11 O11 Q11">
      <formula1>"Insomnio,Muy malo,Malo,Regular,Bueno,Muy bueno"</formula1>
    </dataValidation>
    <dataValidation type="list" allowBlank="1" showErrorMessage="1" sqref="E7 G7 I7 K7 M7 O7 Q7 E9:E10 G9:G10 I9:I10 K9:K10 M9:M10 O9:O10 Q9:Q10">
      <formula1>"1,2,3,4,5,6,7,8,9,10"</formula1>
    </dataValidation>
    <dataValidation type="list" allowBlank="1" showErrorMessage="1" sqref="E8 G8 I8 K8 M8 O8 Q8">
      <formula1>"Nada,Ligeras,Moderadas,Altas,Dolor intenso"</formula1>
    </dataValidation>
    <dataValidation type="list" allowBlank="1" showErrorMessage="1" sqref="Q14 Q25 Q36 Q47 Q57:S57 Q58 Q69 Q80 Q91 Q100:S101 Q102 Q112:S112 Q113 Q124 Q135 Q146 Q157 Q166:S167 Q168 Q178:S178 Q179 Q190 Q201">
      <formula1>"Muy malo,Malo,Regular,Bueno,Muy bueno"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